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Edwin\Documents\SENA 2023\1er Trimestre\Fichas\2694496 - ADSO MIO\"/>
    </mc:Choice>
  </mc:AlternateContent>
  <xr:revisionPtr revIDLastSave="0" documentId="13_ncr:1_{ABB37404-6BD7-4E0E-811C-B104A8FA5F62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Horario" sheetId="1" r:id="rId1"/>
    <sheet name="TEMAS" sheetId="2" r:id="rId2"/>
  </sheets>
  <externalReferences>
    <externalReference r:id="rId3"/>
    <externalReference r:id="rId4"/>
    <externalReference r:id="rId5"/>
  </externalReferences>
  <definedNames>
    <definedName name="ambientes" localSheetId="0">#REF!</definedName>
    <definedName name="ambientes">#REF!</definedName>
    <definedName name="CODIGOSPROGRAMAS">'[1]Hoja de Ruta'!$M$1:$N$37</definedName>
    <definedName name="d">[2]NOCHE!$B$3</definedName>
    <definedName name="DATOS">'[1]Hoja de Ruta'!$A$2:$K$326</definedName>
    <definedName name="ficha">[1]NOCHE!$B$3</definedName>
    <definedName name="instructores">[3]Hoja2!$A:$F</definedName>
    <definedName name="s">[1]NOCHE!$B$3</definedName>
    <definedName name="x">'[2]Hoja de Ruta'!$A$2:$K$326</definedName>
    <definedName name="xxxxxx">'[2]Hoja de Ruta'!$A$2:$K$326</definedName>
    <definedName name="xxxxxx2222">[2]NOCHE!$B$3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21" i="1" l="1"/>
</calcChain>
</file>

<file path=xl/sharedStrings.xml><?xml version="1.0" encoding="utf-8"?>
<sst xmlns="http://schemas.openxmlformats.org/spreadsheetml/2006/main" count="133" uniqueCount="85">
  <si>
    <t>FICHA:</t>
  </si>
  <si>
    <t>NIVEL:</t>
  </si>
  <si>
    <t>PROGRAMA DE FORMACIÓN:</t>
  </si>
  <si>
    <t>CÓDIGO:</t>
  </si>
  <si>
    <t>VERSIÓN:</t>
  </si>
  <si>
    <t>Tecnólogo</t>
  </si>
  <si>
    <t>AMBIENTE:</t>
  </si>
  <si>
    <t>GESTOR DE PROYECTO:</t>
  </si>
  <si>
    <t>INICIO FICHA:</t>
  </si>
  <si>
    <t>FIN FICHA:</t>
  </si>
  <si>
    <t>TRIM ACTUAL</t>
  </si>
  <si>
    <t>PROYECTO FORMATIVO:</t>
  </si>
  <si>
    <t>HORA</t>
  </si>
  <si>
    <t xml:space="preserve">LUNES </t>
  </si>
  <si>
    <t xml:space="preserve">MARTES </t>
  </si>
  <si>
    <t>MIÉRCOLES</t>
  </si>
  <si>
    <t>JUEVES</t>
  </si>
  <si>
    <t xml:space="preserve">VIERNES </t>
  </si>
  <si>
    <t>Directo</t>
  </si>
  <si>
    <t>Resultado de aprendizaje</t>
  </si>
  <si>
    <t>Comienzo</t>
  </si>
  <si>
    <t>Fin</t>
  </si>
  <si>
    <t>Instructor</t>
  </si>
  <si>
    <t>Horas</t>
  </si>
  <si>
    <t>Observación</t>
  </si>
  <si>
    <t>Comprender textos en inglés en forma escrita y auditiva</t>
  </si>
  <si>
    <t>NA</t>
  </si>
  <si>
    <t>Luis Fernando Leal</t>
  </si>
  <si>
    <t>SÁBADO</t>
  </si>
  <si>
    <t>Inglés</t>
  </si>
  <si>
    <t>Enfoque principal</t>
  </si>
  <si>
    <t>Tématicas</t>
  </si>
  <si>
    <t>Construcción de software integrador de tecnologías orientadas a servicios</t>
  </si>
  <si>
    <t>Germán Angarita</t>
  </si>
  <si>
    <t>Oscar Ramirez</t>
  </si>
  <si>
    <t>Hugo Ardila</t>
  </si>
  <si>
    <t>Especificación de requisitos del software.</t>
  </si>
  <si>
    <t>Validar el informe de requisitos de acuerdo con las necesidades del cliente.</t>
  </si>
  <si>
    <t>Establecer los requisitos del software de acuerdo con la información recolectada.</t>
  </si>
  <si>
    <t>Recolectar información del software a construir de acuerdo con las necesidades del cliente.</t>
  </si>
  <si>
    <t>Caracterizar los procesos de la organización de acuerdo con el software a construir.</t>
  </si>
  <si>
    <t>Análisis de la especificación de requisitos del software</t>
  </si>
  <si>
    <t>Modelar las funciones del software de acuerdo con el informe de requisitos.</t>
  </si>
  <si>
    <t>Desarrollar procesos lógicos a través de la implementación de algoritmos.</t>
  </si>
  <si>
    <t>Verificar los modelos realizados en la fase de análisis de acuerdo con lo establecido en el informe de requisitos.</t>
  </si>
  <si>
    <t>Planear actividades de análisis de acuerdo con la metodología seleccionada.</t>
  </si>
  <si>
    <t>Elaboración de la propuesta técnica del software</t>
  </si>
  <si>
    <t>TIC - Utilizar herramientas informáticas de acuerdo con necesidades de manejo de información</t>
  </si>
  <si>
    <t>Aplicar funcionalidades de herramientas y servicios TIC, de acuerdo con manuales de uso, procedimientos establecidos y buenas prácticas.</t>
  </si>
  <si>
    <t>Alistar herramientas de tecnologías de la información y la comunicación (TIC), de acuerdo con las necesidades de procesamiento de información y comunicación.</t>
  </si>
  <si>
    <t>Definir especificaciones técnicas del software de acuerdo con las características del software a construir.</t>
  </si>
  <si>
    <t>INGLES - Interactuar en lengua inglesa de forma oral y escrita dentro de contextos sociales y laborales según los criterios establecidos por el Marco Común Europeo de Referencia para las Lenguas</t>
  </si>
  <si>
    <t>Comprender información sobre situaciones cotidianas y laborales actuales y futuras a través de interacciones sociales de forma oral y escrita.</t>
  </si>
  <si>
    <t>Hugo Hernán Henao</t>
  </si>
  <si>
    <t>TECNOLOGÍA EN ANÁLISIS Y DESARROLLO SOFTWARE</t>
  </si>
  <si>
    <t>https://aged-zenobia-26b.notion.site/Definir-especificaciones-t-cnicas-del-software-de-acuerdo-con-las-caracter-sticas-del-software-a-con-a870075135d84c2eb6b34fd4b7a47165</t>
  </si>
  <si>
    <t>https://aged-zenobia-26b.notion.site/Modelar-las-funciones-del-software-de-acuerdo-con-el-informe-de-requisitos-36a87d5c69504277b74d70ae79336b1c</t>
  </si>
  <si>
    <t>https://aged-zenobia-26b.notion.site/Desarrollar-procesos-l-gicos-a-trav-s-de-la-implementaci-n-de-algoritmos-640871a70cbf434b8c857ef401c5cb6b</t>
  </si>
  <si>
    <t>https://aged-zenobia-26b.notion.site/Verificar-los-modelos-realizados-en-la-fase-de-an-lisis-de-acuerdo-con-lo-establecido-en-el-informe--c72c416791e049ee8ed3951e2ef46f72</t>
  </si>
  <si>
    <t>https://aged-zenobia-26b.notion.site/Planear-actividades-de-an-lisis-de-acuerdo-con-la-metodolog-a-seleccionada-af6dc227495642609da6203f4a0bf2c0</t>
  </si>
  <si>
    <t>https://aged-zenobia-26b.notion.site/Validar-el-informe-de-requisitos-de-acuerdo-con-las-necesidades-del-cliente-56fe0e08396440bc9d383198bd426b2f</t>
  </si>
  <si>
    <t>https://aged-zenobia-26b.notion.site/Establecer-los-requisitos-del-software-de-acuerdo-con-la-informaci-n-recolectada-57b0acd1b0f04721b901bde6026e274c</t>
  </si>
  <si>
    <t>https://aged-zenobia-26b.notion.site/Recolectar-informaci-n-del-software-a-construir-de-acuerdo-con-las-necesidades-del-cliente-c2087d74ffe34350a60ea1a623638dfc</t>
  </si>
  <si>
    <t>https://aged-zenobia-26b.notion.site/Caracterizar-los-procesos-de-la-organizaci-n-de-acuerdo-con-el-software-a-construir-27964e8cc13b42d3bf25e4b100294bce</t>
  </si>
  <si>
    <t>Generalidades ciclo de vida, metodologias, procesos, información</t>
  </si>
  <si>
    <t>Levantamiento de información, tecnicas, requisitos, fuentes de información</t>
  </si>
  <si>
    <t>Analisis y validación de requisitos</t>
  </si>
  <si>
    <t>Especificación de requisitos, documento ERS, introducción HU</t>
  </si>
  <si>
    <t>Metodologias de desarrollo, RUP, SCRUM, XP, Tipos de proyectos de software, planeación</t>
  </si>
  <si>
    <t>TIC, Hardware, Software, Mercado del Software, Contratación de servicios de TI, soluciones informaticas, tipos de software, tipos de modelos de negocio</t>
  </si>
  <si>
    <t>Introducción UML, Casos de Uso, Modelo de Datos, Fundamentos de BD (Principalmente)</t>
  </si>
  <si>
    <t>Lógica de programación, algortimos, operadores de control, prueba de escritorio, lenguaje de programación</t>
  </si>
  <si>
    <t>Trazabilidad seguimiento a proceso de requisitos, enfoque proyecto formativo</t>
  </si>
  <si>
    <t>220501092 Establecer requisitos de la solución de software de acuerdo con estándares y procedimiento técnico.</t>
  </si>
  <si>
    <t>220501093 Evaluar requisitos de la solución de software de acuerdo con metodologías de análisis y estándares.</t>
  </si>
  <si>
    <t>220501094 Estructurar propuesta técnica de servicio de tecnología de la información según requisitos técnicos y normativa.</t>
  </si>
  <si>
    <t>240201530 Resultado de aprendizaje de la inducción.</t>
  </si>
  <si>
    <t>01 Identificar la dinámica organizacional del sena y el rol de la formación profesional integral de acuerdo con su proyecto de vida y el desarrollo</t>
  </si>
  <si>
    <t>Edwin Narvaez</t>
  </si>
  <si>
    <t>Ingeniero Sis 5</t>
  </si>
  <si>
    <t>Ingeniero Sist 5</t>
  </si>
  <si>
    <t>Ingeniero  Nuevo 6</t>
  </si>
  <si>
    <t>Ingeniero Sist 6</t>
  </si>
  <si>
    <t>Ingeniero Sis 6</t>
  </si>
  <si>
    <t>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</si>
</sst>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\-??_);_(@_)"/>
    <numFmt numFmtId="165" formatCode="_-* #,##0.00_-;\-* #,##0.00_-;_-* \-??_-;_-@_-"/>
    <numFmt numFmtId="166" formatCode="_-* #,##0.00\ _€_-;\-* #,##0.00\ _€_-;_-* \-??\ _€_-;_-@_-"/>
    <numFmt numFmtId="167" formatCode="[$-240A]dd/mm/yyyy"/>
    <numFmt numFmtId="168" formatCode="[$-240A]hh:mm\ AM/PM"/>
  </numFmts>
  <fonts count="12">
    <font>
      <sz val="11"/>
      <color rgb="FF000000"/>
      <name val="Calibri"/>
      <family val="2"/>
      <charset val="1"/>
    </font>
    <font>
      <sz val="10"/>
      <name val="Arial"/>
      <family val="2"/>
      <charset val="1"/>
    </font>
    <font>
      <sz val="10"/>
      <name val="DejaVu Sans"/>
      <family val="2"/>
      <charset val="1"/>
    </font>
    <font>
      <sz val="10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0"/>
      <color rgb="FF000000"/>
      <name val="Calibri"/>
      <family val="2"/>
      <charset val="1"/>
    </font>
    <font>
      <sz val="11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u/>
      <sz val="11"/>
      <color theme="10"/>
      <name val="Calibri"/>
      <family val="2"/>
      <charset val="1"/>
    </font>
  </fonts>
  <fills count="23">
    <fill>
      <patternFill patternType="none"/>
    </fill>
    <fill>
      <patternFill patternType="gray125"/>
    </fill>
    <fill>
      <patternFill patternType="solid">
        <fgColor rgb="FFDCE6F2"/>
        <bgColor rgb="FFDBEEF4"/>
      </patternFill>
    </fill>
    <fill>
      <patternFill patternType="solid">
        <fgColor rgb="FFF2DCDB"/>
        <bgColor rgb="FFE6E0EC"/>
      </patternFill>
    </fill>
    <fill>
      <patternFill patternType="solid">
        <fgColor rgb="FFEBF1DE"/>
        <bgColor rgb="FFF2F2F2"/>
      </patternFill>
    </fill>
    <fill>
      <patternFill patternType="solid">
        <fgColor rgb="FFE6E0EC"/>
        <bgColor rgb="FFDCE6F2"/>
      </patternFill>
    </fill>
    <fill>
      <patternFill patternType="solid">
        <fgColor rgb="FFDBEEF4"/>
        <bgColor rgb="FFDCE6F2"/>
      </patternFill>
    </fill>
    <fill>
      <patternFill patternType="solid">
        <fgColor rgb="FFFDEADA"/>
        <bgColor rgb="FFEBF1DE"/>
      </patternFill>
    </fill>
    <fill>
      <patternFill patternType="solid">
        <fgColor rgb="FFB9CDE5"/>
        <bgColor rgb="FFB7DEE8"/>
      </patternFill>
    </fill>
    <fill>
      <patternFill patternType="solid">
        <fgColor rgb="FFE6B9B8"/>
        <bgColor rgb="FFCCC1DA"/>
      </patternFill>
    </fill>
    <fill>
      <patternFill patternType="solid">
        <fgColor rgb="FFD7E4BD"/>
        <bgColor rgb="FFD9D9D9"/>
      </patternFill>
    </fill>
    <fill>
      <patternFill patternType="solid">
        <fgColor rgb="FFCCC1DA"/>
        <bgColor rgb="FFB9CDE5"/>
      </patternFill>
    </fill>
    <fill>
      <patternFill patternType="solid">
        <fgColor rgb="FFB7DEE8"/>
        <bgColor rgb="FFB9CDE5"/>
      </patternFill>
    </fill>
    <fill>
      <patternFill patternType="solid">
        <fgColor rgb="FFFCD5B5"/>
        <bgColor rgb="FFF2DCDB"/>
      </patternFill>
    </fill>
    <fill>
      <patternFill patternType="solid">
        <fgColor rgb="FFFFFFCC"/>
        <bgColor rgb="FFEBF1DE"/>
      </patternFill>
    </fill>
    <fill>
      <patternFill patternType="solid">
        <fgColor rgb="FFF79646"/>
        <bgColor rgb="FFFFBF00"/>
      </patternFill>
    </fill>
    <fill>
      <patternFill patternType="solid">
        <fgColor rgb="FFFFFFFF"/>
        <bgColor rgb="FFF2F2F2"/>
      </patternFill>
    </fill>
    <fill>
      <patternFill patternType="solid">
        <fgColor rgb="FFF2F2F2"/>
        <bgColor rgb="FFEBF1DE"/>
      </patternFill>
    </fill>
    <fill>
      <patternFill patternType="solid">
        <fgColor rgb="FFF79646"/>
        <bgColor rgb="FFE46C0A"/>
      </patternFill>
    </fill>
    <fill>
      <patternFill patternType="solid">
        <fgColor theme="0"/>
        <bgColor rgb="FFEBF1DE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rgb="FFF2F2F2"/>
      </patternFill>
    </fill>
    <fill>
      <patternFill patternType="solid">
        <fgColor rgb="FF92D050"/>
        <bgColor indexed="64"/>
      </patternFill>
    </fill>
  </fills>
  <borders count="3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2">
    <xf numFmtId="0" fontId="0" fillId="0" borderId="0"/>
    <xf numFmtId="0" fontId="9" fillId="2" borderId="0" applyBorder="0" applyProtection="0"/>
    <xf numFmtId="0" fontId="9" fillId="3" borderId="0" applyBorder="0" applyProtection="0"/>
    <xf numFmtId="0" fontId="9" fillId="4" borderId="0" applyBorder="0" applyProtection="0"/>
    <xf numFmtId="0" fontId="9" fillId="5" borderId="0" applyBorder="0" applyProtection="0"/>
    <xf numFmtId="0" fontId="9" fillId="6" borderId="0" applyBorder="0" applyProtection="0"/>
    <xf numFmtId="0" fontId="9" fillId="7" borderId="0" applyBorder="0" applyProtection="0"/>
    <xf numFmtId="0" fontId="9" fillId="8" borderId="0" applyBorder="0" applyProtection="0"/>
    <xf numFmtId="0" fontId="9" fillId="9" borderId="0" applyBorder="0" applyProtection="0"/>
    <xf numFmtId="0" fontId="9" fillId="10" borderId="0" applyBorder="0" applyProtection="0"/>
    <xf numFmtId="0" fontId="9" fillId="11" borderId="0" applyBorder="0" applyProtection="0"/>
    <xf numFmtId="0" fontId="9" fillId="12" borderId="0" applyBorder="0" applyProtection="0"/>
    <xf numFmtId="0" fontId="9" fillId="13" borderId="0" applyBorder="0" applyProtection="0"/>
    <xf numFmtId="164" fontId="9" fillId="0" borderId="0" applyBorder="0" applyProtection="0"/>
    <xf numFmtId="164" fontId="9" fillId="0" borderId="0" applyBorder="0" applyProtection="0"/>
    <xf numFmtId="165" fontId="9" fillId="0" borderId="0" applyBorder="0" applyProtection="0"/>
    <xf numFmtId="165" fontId="9" fillId="0" borderId="0" applyBorder="0" applyProtection="0"/>
    <xf numFmtId="166" fontId="9" fillId="0" borderId="0" applyBorder="0" applyProtection="0"/>
    <xf numFmtId="166" fontId="9" fillId="0" borderId="0" applyBorder="0" applyProtection="0"/>
    <xf numFmtId="164" fontId="9" fillId="0" borderId="0" applyBorder="0" applyProtection="0"/>
    <xf numFmtId="165" fontId="9" fillId="0" borderId="0" applyBorder="0" applyProtection="0"/>
    <xf numFmtId="165" fontId="9" fillId="0" borderId="0" applyBorder="0" applyProtection="0"/>
    <xf numFmtId="164" fontId="9" fillId="0" borderId="0" applyBorder="0" applyProtection="0"/>
    <xf numFmtId="166" fontId="9" fillId="0" borderId="0" applyBorder="0" applyProtection="0"/>
    <xf numFmtId="0" fontId="1" fillId="0" borderId="0"/>
    <xf numFmtId="0" fontId="2" fillId="0" borderId="0"/>
    <xf numFmtId="0" fontId="1" fillId="0" borderId="0"/>
    <xf numFmtId="0" fontId="9" fillId="0" borderId="0"/>
    <xf numFmtId="0" fontId="3" fillId="0" borderId="0"/>
    <xf numFmtId="0" fontId="9" fillId="14" borderId="1" applyProtection="0"/>
    <xf numFmtId="0" fontId="9" fillId="14" borderId="1" applyProtection="0"/>
    <xf numFmtId="0" fontId="11" fillId="0" borderId="0" applyNumberFormat="0" applyFill="0" applyBorder="0" applyAlignment="0" applyProtection="0"/>
  </cellStyleXfs>
  <cellXfs count="112">
    <xf numFmtId="0" fontId="0" fillId="0" borderId="0" xfId="0"/>
    <xf numFmtId="0" fontId="4" fillId="15" borderId="2" xfId="0" applyFont="1" applyFill="1" applyBorder="1" applyAlignment="1">
      <alignment horizontal="center" vertical="center" wrapText="1"/>
    </xf>
    <xf numFmtId="0" fontId="4" fillId="15" borderId="4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167" fontId="0" fillId="0" borderId="7" xfId="0" applyNumberFormat="1" applyBorder="1" applyAlignment="1">
      <alignment horizontal="center" vertical="center"/>
    </xf>
    <xf numFmtId="0" fontId="4" fillId="0" borderId="0" xfId="0" applyFont="1"/>
    <xf numFmtId="0" fontId="4" fillId="17" borderId="7" xfId="0" applyFont="1" applyFill="1" applyBorder="1" applyAlignment="1">
      <alignment vertical="center" wrapText="1"/>
    </xf>
    <xf numFmtId="0" fontId="4" fillId="17" borderId="7" xfId="0" applyFont="1" applyFill="1" applyBorder="1" applyAlignment="1">
      <alignment horizontal="center" vertical="center" wrapText="1"/>
    </xf>
    <xf numFmtId="167" fontId="0" fillId="0" borderId="7" xfId="0" applyNumberForma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168" fontId="7" fillId="0" borderId="7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68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168" fontId="7" fillId="0" borderId="2" xfId="0" applyNumberFormat="1" applyFont="1" applyBorder="1" applyAlignment="1">
      <alignment horizontal="center" vertical="center"/>
    </xf>
    <xf numFmtId="168" fontId="7" fillId="16" borderId="6" xfId="0" applyNumberFormat="1" applyFont="1" applyFill="1" applyBorder="1" applyAlignment="1">
      <alignment horizontal="center" vertical="center"/>
    </xf>
    <xf numFmtId="168" fontId="7" fillId="16" borderId="7" xfId="0" applyNumberFormat="1" applyFont="1" applyFill="1" applyBorder="1" applyAlignment="1">
      <alignment horizontal="center" vertical="center"/>
    </xf>
    <xf numFmtId="168" fontId="7" fillId="16" borderId="12" xfId="0" applyNumberFormat="1" applyFont="1" applyFill="1" applyBorder="1" applyAlignment="1">
      <alignment horizontal="center" vertical="center"/>
    </xf>
    <xf numFmtId="168" fontId="7" fillId="16" borderId="16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 wrapText="1"/>
    </xf>
    <xf numFmtId="0" fontId="4" fillId="15" borderId="3" xfId="0" applyFont="1" applyFill="1" applyBorder="1" applyAlignment="1">
      <alignment horizontal="center" vertical="center" wrapText="1"/>
    </xf>
    <xf numFmtId="0" fontId="4" fillId="15" borderId="7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4" xfId="0" applyBorder="1" applyAlignment="1">
      <alignment horizontal="center"/>
    </xf>
    <xf numFmtId="0" fontId="0" fillId="0" borderId="6" xfId="0" applyBorder="1"/>
    <xf numFmtId="0" fontId="0" fillId="0" borderId="8" xfId="0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Alignment="1">
      <alignment horizontal="center" vertical="center"/>
    </xf>
    <xf numFmtId="168" fontId="7" fillId="0" borderId="3" xfId="0" applyNumberFormat="1" applyFont="1" applyBorder="1" applyAlignment="1">
      <alignment horizontal="center" vertical="center"/>
    </xf>
    <xf numFmtId="168" fontId="7" fillId="0" borderId="6" xfId="0" applyNumberFormat="1" applyFont="1" applyBorder="1" applyAlignment="1">
      <alignment horizontal="center" vertical="center"/>
    </xf>
    <xf numFmtId="0" fontId="4" fillId="15" borderId="14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4" fillId="15" borderId="19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0" fontId="0" fillId="0" borderId="8" xfId="0" applyBorder="1"/>
    <xf numFmtId="0" fontId="0" fillId="15" borderId="21" xfId="0" applyFill="1" applyBorder="1" applyAlignment="1">
      <alignment horizontal="center" vertical="center"/>
    </xf>
    <xf numFmtId="0" fontId="0" fillId="15" borderId="22" xfId="0" applyFill="1" applyBorder="1" applyAlignment="1">
      <alignment horizontal="center" vertical="center"/>
    </xf>
    <xf numFmtId="0" fontId="0" fillId="0" borderId="10" xfId="0" applyBorder="1"/>
    <xf numFmtId="0" fontId="0" fillId="15" borderId="17" xfId="0" applyFill="1" applyBorder="1" applyAlignment="1">
      <alignment horizontal="center" vertical="center"/>
    </xf>
    <xf numFmtId="0" fontId="4" fillId="18" borderId="4" xfId="0" applyFont="1" applyFill="1" applyBorder="1" applyAlignment="1">
      <alignment horizontal="center" vertical="center"/>
    </xf>
    <xf numFmtId="0" fontId="4" fillId="17" borderId="8" xfId="0" applyFont="1" applyFill="1" applyBorder="1" applyAlignment="1">
      <alignment vertical="center" wrapText="1"/>
    </xf>
    <xf numFmtId="167" fontId="11" fillId="0" borderId="8" xfId="31" applyNumberFormat="1" applyBorder="1" applyAlignment="1">
      <alignment horizontal="center" vertical="center" wrapText="1"/>
    </xf>
    <xf numFmtId="0" fontId="5" fillId="19" borderId="7" xfId="0" applyFont="1" applyFill="1" applyBorder="1" applyAlignment="1">
      <alignment vertical="center" wrapText="1"/>
    </xf>
    <xf numFmtId="0" fontId="11" fillId="19" borderId="8" xfId="31" applyFill="1" applyBorder="1" applyAlignment="1">
      <alignment vertical="center" wrapText="1"/>
    </xf>
    <xf numFmtId="0" fontId="0" fillId="20" borderId="7" xfId="0" applyFill="1" applyBorder="1" applyAlignment="1">
      <alignment horizontal="center" vertical="center" wrapText="1"/>
    </xf>
    <xf numFmtId="167" fontId="11" fillId="20" borderId="8" xfId="31" applyNumberFormat="1" applyFill="1" applyBorder="1" applyAlignment="1">
      <alignment horizontal="center" vertical="center" wrapText="1"/>
    </xf>
    <xf numFmtId="0" fontId="5" fillId="20" borderId="7" xfId="0" applyFont="1" applyFill="1" applyBorder="1" applyAlignment="1">
      <alignment horizontal="center" vertical="center" wrapText="1"/>
    </xf>
    <xf numFmtId="0" fontId="4" fillId="19" borderId="7" xfId="0" applyFont="1" applyFill="1" applyBorder="1" applyAlignment="1">
      <alignment vertical="center" wrapText="1"/>
    </xf>
    <xf numFmtId="0" fontId="4" fillId="19" borderId="8" xfId="0" applyFont="1" applyFill="1" applyBorder="1" applyAlignment="1">
      <alignment vertical="center" wrapText="1"/>
    </xf>
    <xf numFmtId="167" fontId="0" fillId="20" borderId="8" xfId="0" applyNumberFormat="1" applyFill="1" applyBorder="1" applyAlignment="1">
      <alignment horizontal="center" vertical="center" wrapText="1"/>
    </xf>
    <xf numFmtId="167" fontId="0" fillId="20" borderId="7" xfId="0" applyNumberFormat="1" applyFill="1" applyBorder="1" applyAlignment="1">
      <alignment horizontal="center" vertical="center" wrapText="1"/>
    </xf>
    <xf numFmtId="0" fontId="0" fillId="20" borderId="16" xfId="0" applyFill="1" applyBorder="1"/>
    <xf numFmtId="0" fontId="0" fillId="20" borderId="13" xfId="0" applyFill="1" applyBorder="1"/>
    <xf numFmtId="0" fontId="4" fillId="15" borderId="7" xfId="0" applyFont="1" applyFill="1" applyBorder="1" applyAlignment="1">
      <alignment horizontal="center" vertical="center"/>
    </xf>
    <xf numFmtId="0" fontId="4" fillId="18" borderId="3" xfId="0" applyFont="1" applyFill="1" applyBorder="1" applyAlignment="1">
      <alignment horizontal="center" vertical="center"/>
    </xf>
    <xf numFmtId="0" fontId="5" fillId="0" borderId="0" xfId="0" applyFont="1"/>
    <xf numFmtId="167" fontId="0" fillId="0" borderId="16" xfId="0" applyNumberForma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5" fillId="19" borderId="7" xfId="0" applyFont="1" applyFill="1" applyBorder="1" applyAlignment="1">
      <alignment horizontal="center" vertical="center" wrapText="1"/>
    </xf>
    <xf numFmtId="0" fontId="11" fillId="19" borderId="8" xfId="31" applyFill="1" applyBorder="1" applyAlignment="1">
      <alignment horizontal="center" vertical="center" wrapText="1"/>
    </xf>
    <xf numFmtId="0" fontId="7" fillId="0" borderId="27" xfId="0" applyFont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 wrapText="1"/>
    </xf>
    <xf numFmtId="0" fontId="7" fillId="0" borderId="24" xfId="0" applyFont="1" applyBorder="1" applyAlignment="1">
      <alignment horizontal="center" vertical="center" wrapText="1"/>
    </xf>
    <xf numFmtId="0" fontId="0" fillId="16" borderId="8" xfId="0" applyFill="1" applyBorder="1" applyAlignment="1">
      <alignment horizontal="center" vertical="center" wrapText="1"/>
    </xf>
    <xf numFmtId="0" fontId="0" fillId="16" borderId="13" xfId="0" applyFill="1" applyBorder="1" applyAlignment="1">
      <alignment horizontal="center" vertical="center" wrapText="1"/>
    </xf>
    <xf numFmtId="0" fontId="0" fillId="16" borderId="7" xfId="0" applyFill="1" applyBorder="1" applyAlignment="1">
      <alignment horizontal="center" vertical="center" wrapText="1"/>
    </xf>
    <xf numFmtId="0" fontId="0" fillId="16" borderId="16" xfId="0" applyFill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/>
    </xf>
    <xf numFmtId="0" fontId="8" fillId="22" borderId="12" xfId="0" applyFont="1" applyFill="1" applyBorder="1" applyAlignment="1">
      <alignment horizontal="left" vertical="center" wrapText="1"/>
    </xf>
    <xf numFmtId="0" fontId="0" fillId="22" borderId="12" xfId="0" applyFill="1" applyBorder="1" applyAlignment="1">
      <alignment horizontal="left" vertical="center" wrapText="1"/>
    </xf>
    <xf numFmtId="0" fontId="4" fillId="22" borderId="6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0" fillId="20" borderId="6" xfId="0" applyFill="1" applyBorder="1" applyAlignment="1">
      <alignment horizontal="left" vertical="center" wrapText="1"/>
    </xf>
    <xf numFmtId="0" fontId="5" fillId="20" borderId="6" xfId="0" applyFont="1" applyFill="1" applyBorder="1" applyAlignment="1">
      <alignment horizontal="left" vertical="center" wrapText="1"/>
    </xf>
    <xf numFmtId="0" fontId="4" fillId="22" borderId="6" xfId="0" applyFont="1" applyFill="1" applyBorder="1" applyAlignment="1">
      <alignment horizontal="left" wrapText="1"/>
    </xf>
    <xf numFmtId="0" fontId="5" fillId="20" borderId="18" xfId="0" applyFont="1" applyFill="1" applyBorder="1" applyAlignment="1">
      <alignment horizontal="left" vertical="center" wrapText="1"/>
    </xf>
    <xf numFmtId="0" fontId="5" fillId="20" borderId="25" xfId="0" applyFont="1" applyFill="1" applyBorder="1" applyAlignment="1">
      <alignment horizontal="left" vertical="center" wrapText="1"/>
    </xf>
    <xf numFmtId="0" fontId="5" fillId="20" borderId="26" xfId="0" applyFont="1" applyFill="1" applyBorder="1" applyAlignment="1">
      <alignment horizontal="left" vertical="center" wrapText="1"/>
    </xf>
    <xf numFmtId="0" fontId="4" fillId="15" borderId="7" xfId="0" applyFont="1" applyFill="1" applyBorder="1" applyAlignment="1">
      <alignment horizontal="center" vertical="center"/>
    </xf>
    <xf numFmtId="0" fontId="8" fillId="21" borderId="6" xfId="0" applyFont="1" applyFill="1" applyBorder="1" applyAlignment="1">
      <alignment horizontal="left" vertical="center" wrapText="1"/>
    </xf>
    <xf numFmtId="0" fontId="0" fillId="20" borderId="18" xfId="0" applyFill="1" applyBorder="1" applyAlignment="1">
      <alignment horizontal="left" vertical="center" wrapText="1"/>
    </xf>
    <xf numFmtId="0" fontId="0" fillId="20" borderId="25" xfId="0" applyFill="1" applyBorder="1" applyAlignment="1">
      <alignment horizontal="left" vertical="center" wrapText="1"/>
    </xf>
    <xf numFmtId="0" fontId="0" fillId="20" borderId="26" xfId="0" applyFill="1" applyBorder="1" applyAlignment="1">
      <alignment horizontal="left" vertical="center" wrapText="1"/>
    </xf>
    <xf numFmtId="0" fontId="4" fillId="15" borderId="11" xfId="0" applyFont="1" applyFill="1" applyBorder="1" applyAlignment="1">
      <alignment horizontal="center"/>
    </xf>
    <xf numFmtId="0" fontId="0" fillId="0" borderId="5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 wrapText="1"/>
    </xf>
    <xf numFmtId="0" fontId="0" fillId="15" borderId="15" xfId="0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4" fillId="15" borderId="6" xfId="0" applyFont="1" applyFill="1" applyBorder="1" applyAlignment="1">
      <alignment horizontal="center" vertical="center" wrapText="1"/>
    </xf>
    <xf numFmtId="0" fontId="4" fillId="15" borderId="8" xfId="0" applyFont="1" applyFill="1" applyBorder="1" applyAlignment="1">
      <alignment horizontal="center" vertical="center" wrapText="1"/>
    </xf>
    <xf numFmtId="0" fontId="4" fillId="15" borderId="19" xfId="0" applyFont="1" applyFill="1" applyBorder="1" applyAlignment="1">
      <alignment horizontal="center" vertical="center" wrapText="1"/>
    </xf>
    <xf numFmtId="0" fontId="4" fillId="15" borderId="3" xfId="0" applyFont="1" applyFill="1" applyBorder="1" applyAlignment="1">
      <alignment horizontal="center" vertical="center" wrapText="1"/>
    </xf>
    <xf numFmtId="0" fontId="0" fillId="15" borderId="5" xfId="0" applyFill="1" applyBorder="1" applyAlignment="1">
      <alignment horizontal="center" vertical="center" wrapText="1"/>
    </xf>
    <xf numFmtId="0" fontId="0" fillId="15" borderId="18" xfId="0" applyFill="1" applyBorder="1" applyAlignment="1">
      <alignment horizontal="center" vertical="center" wrapText="1"/>
    </xf>
    <xf numFmtId="0" fontId="4" fillId="15" borderId="7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4" fillId="20" borderId="6" xfId="0" applyFont="1" applyFill="1" applyBorder="1" applyAlignment="1">
      <alignment horizontal="left" wrapText="1"/>
    </xf>
    <xf numFmtId="0" fontId="4" fillId="18" borderId="2" xfId="0" applyFont="1" applyFill="1" applyBorder="1" applyAlignment="1">
      <alignment horizontal="center" vertical="center"/>
    </xf>
    <xf numFmtId="0" fontId="4" fillId="18" borderId="3" xfId="0" applyFont="1" applyFill="1" applyBorder="1" applyAlignment="1">
      <alignment horizontal="center" vertical="center"/>
    </xf>
    <xf numFmtId="0" fontId="8" fillId="16" borderId="6" xfId="0" applyFont="1" applyFill="1" applyBorder="1" applyAlignment="1">
      <alignment horizontal="left" vertical="center" wrapText="1"/>
    </xf>
    <xf numFmtId="0" fontId="4" fillId="20" borderId="6" xfId="0" applyFont="1" applyFill="1" applyBorder="1" applyAlignment="1">
      <alignment horizontal="left" vertical="center" wrapText="1"/>
    </xf>
  </cellXfs>
  <cellStyles count="32">
    <cellStyle name="20% - Énfasis1 2" xfId="1" xr:uid="{00000000-0005-0000-0000-000006000000}"/>
    <cellStyle name="20% - Énfasis2 2" xfId="2" xr:uid="{00000000-0005-0000-0000-000007000000}"/>
    <cellStyle name="20% - Énfasis3 2" xfId="3" xr:uid="{00000000-0005-0000-0000-000008000000}"/>
    <cellStyle name="20% - Énfasis4 2" xfId="4" xr:uid="{00000000-0005-0000-0000-000009000000}"/>
    <cellStyle name="20% - Énfasis5 2" xfId="5" xr:uid="{00000000-0005-0000-0000-00000A000000}"/>
    <cellStyle name="20% - Énfasis6 2" xfId="6" xr:uid="{00000000-0005-0000-0000-00000B000000}"/>
    <cellStyle name="40% - Énfasis1 2" xfId="7" xr:uid="{00000000-0005-0000-0000-00000C000000}"/>
    <cellStyle name="40% - Énfasis2 2" xfId="8" xr:uid="{00000000-0005-0000-0000-00000D000000}"/>
    <cellStyle name="40% - Énfasis3 2" xfId="9" xr:uid="{00000000-0005-0000-0000-00000E000000}"/>
    <cellStyle name="40% - Énfasis4 2" xfId="10" xr:uid="{00000000-0005-0000-0000-00000F000000}"/>
    <cellStyle name="40% - Énfasis5 2" xfId="11" xr:uid="{00000000-0005-0000-0000-000010000000}"/>
    <cellStyle name="40% - Énfasis6 2" xfId="12" xr:uid="{00000000-0005-0000-0000-000011000000}"/>
    <cellStyle name="Hipervínculo" xfId="31" builtinId="8"/>
    <cellStyle name="Millares 2" xfId="13" xr:uid="{00000000-0005-0000-0000-000012000000}"/>
    <cellStyle name="Millares 2 2" xfId="14" xr:uid="{00000000-0005-0000-0000-000013000000}"/>
    <cellStyle name="Millares 2 2 2" xfId="15" xr:uid="{00000000-0005-0000-0000-000014000000}"/>
    <cellStyle name="Millares 2 3" xfId="16" xr:uid="{00000000-0005-0000-0000-000015000000}"/>
    <cellStyle name="Millares 3" xfId="17" xr:uid="{00000000-0005-0000-0000-000016000000}"/>
    <cellStyle name="Millares 3 2" xfId="18" xr:uid="{00000000-0005-0000-0000-000017000000}"/>
    <cellStyle name="Millares 4" xfId="19" xr:uid="{00000000-0005-0000-0000-000018000000}"/>
    <cellStyle name="Millares 4 2" xfId="20" xr:uid="{00000000-0005-0000-0000-000019000000}"/>
    <cellStyle name="Millares 5" xfId="21" xr:uid="{00000000-0005-0000-0000-00001A000000}"/>
    <cellStyle name="Millares 6" xfId="22" xr:uid="{00000000-0005-0000-0000-00001B000000}"/>
    <cellStyle name="Millares 7" xfId="23" xr:uid="{00000000-0005-0000-0000-00001C000000}"/>
    <cellStyle name="Normal" xfId="0" builtinId="0"/>
    <cellStyle name="Normal 2" xfId="24" xr:uid="{00000000-0005-0000-0000-00001D000000}"/>
    <cellStyle name="Normal 2 2" xfId="25" xr:uid="{00000000-0005-0000-0000-00001E000000}"/>
    <cellStyle name="Normal 3" xfId="26" xr:uid="{00000000-0005-0000-0000-00001F000000}"/>
    <cellStyle name="Normal 4" xfId="27" xr:uid="{00000000-0005-0000-0000-000020000000}"/>
    <cellStyle name="Normal 5" xfId="28" xr:uid="{00000000-0005-0000-0000-000021000000}"/>
    <cellStyle name="Notas 2" xfId="29" xr:uid="{00000000-0005-0000-0000-000022000000}"/>
    <cellStyle name="Notas 3" xfId="30" xr:uid="{00000000-0005-0000-0000-000023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B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E6E0EC"/>
      <rgbColor rgb="FF729FCF"/>
      <rgbColor rgb="FF993366"/>
      <rgbColor rgb="FFFFFFCC"/>
      <rgbColor rgb="FFDBEEF4"/>
      <rgbColor rgb="FF660066"/>
      <rgbColor rgb="FFF2DCDB"/>
      <rgbColor rgb="FF0066CC"/>
      <rgbColor rgb="FFB9CDE5"/>
      <rgbColor rgb="FF000080"/>
      <rgbColor rgb="FFFF00FF"/>
      <rgbColor rgb="FFD7E4BD"/>
      <rgbColor rgb="FF00FFFF"/>
      <rgbColor rgb="FF800080"/>
      <rgbColor rgb="FF800000"/>
      <rgbColor rgb="FF008080"/>
      <rgbColor rgb="FF0000FF"/>
      <rgbColor rgb="FF00CCFF"/>
      <rgbColor rgb="FFDCE6F2"/>
      <rgbColor rgb="FFEBF1DE"/>
      <rgbColor rgb="FFFDEADA"/>
      <rgbColor rgb="FFB7DEE8"/>
      <rgbColor rgb="FFE6B9B8"/>
      <rgbColor rgb="FFD9D9D9"/>
      <rgbColor rgb="FFFCD5B5"/>
      <rgbColor rgb="FF3366FF"/>
      <rgbColor rgb="FFF2F2F2"/>
      <rgbColor rgb="FF81D41A"/>
      <rgbColor rgb="FFFFC000"/>
      <rgbColor rgb="FFF79646"/>
      <rgbColor rgb="FFFF6600"/>
      <rgbColor rgb="FF666699"/>
      <rgbColor rgb="FFB2B2B2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file:///D:\SENA\TITULACIONES\HORARIOS\2021\Trim%202%20-%202021\Tarde\media\chenao\9ED4299CD4297823\SENA\TITULACIONES\HORARIOS\2021\Trim1%202021\Tarde\media\chenao\9ED4299CD4297823\SENA\TITULACIONES\HORARIOS\2021\Trim1%202021\Tarde\media\chenao\9ED4299CD4297823\SENA\TITULACIONES\HORARIOS\2021\Trim1%202021\Tarde\media\chenao\9ED4299CD4297823\SENA\TITULACIONES\HORARIOS\2021\Trim1%202021\Tarde\media\chenao\9ED4299CD4297823\SENA\TITULACIONES\HORARIOS\2021\Trim1%202021\Tarde\media\chenao\9ED4299CD4297823\SENA\TITULACIONES\HORARIOS\2021\Trim1%202021\media\chenao\9ED4299CD4297823\SENA\TITULACIONES\HORARIOS\2020\Trim4_2020\media\chenao\9ED4299CD4297823\SENA\TITULACIONES\HORARIOS\2020\Trim4_2020\media\chenao\9ED4299CD4297823\SENA\TITULACIONES\HORARIOS\2020\Trim4_2020\media\chenao\9ED4299CD4297823\SENA\TITULACIONES\HORARIOS\2020\Trim4_2020\media\chenao\9ED4299CD4297823\SENA\TITULACIONES\HORARIOS\2020\Trim4_2020\media\chenao\9ED4299CD4297823\SENA\TITULACIONES\HORARIOS\2020\Trim4_2020\media\chenao\9ED4299CD4297823\SENA\TITULACIONES\HORARIOS\2020\Trim4_2020\media\chenao\9ED4299CD4297823\SENA\TITULACIONES\HORARIOS\2020\Trim3_2020\media\chenao\9ED4299CD4297823\SENA\TITULACIONES\HORARIOS\2020\Trim3_2020\media\chenao\9ED4299CD4297823\SENA\TITULACIONES\HORARIOS\2020\Trim3_2020\media\chenao\9ED4299CD4297823\SENA\TITULACIONES\HORARIOS\2020\Trim3_2020\media\chenao\9ED4299CD4297823\SENA\TITULACIONES\HORARIOS\2020\Trim3_2020\media\chenao\9ED4299CD4297823\SENA\TITULACIONES\HORARIOS\2020\Trim3_2020\media\chenao\9ED4299CD4297823\SENA\TITULACIONES\HORARIOS\2020\Trim3_2020\media\chenao\9ED4299CD4297823\SENA\TITULACIONES\HORARIOS\2020\Trim3_2020\media\chenao\9ED4299CD4297823\SENA\TITULACIONES\HORARIOS\2020\Trim3_2020\media\chenao\9ED4299CD4297823\SENA\TITULACIONES\HORARIOS\2020\Trim2_2020\Users\yovannylopez\Google%20Drive\SENA\Formulacio&#769;n%20proyecto%20industrias%20creativas\G:\Users\jgiraldod\Google%20Drive\Horarios%202016%2004_02_2016%20-\Franjas\I%20Trimestre\creador%20de%20fichas.xlsx?C4875313" TargetMode="External"/><Relationship Id="rId1" Type="http://schemas.openxmlformats.org/officeDocument/2006/relationships/externalLinkPath" Target="file:///\\C4875313\creador%20de%20ficha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microsoft.com/office/2019/04/relationships/externalLinkLongPath" Target="file:///D:\SENA\TITULACIONES\HORARIOS\2021\Trim%202%20-%202021\Tarde\media\chenao\9ED4299CD4297823\SENA\TITULACIONES\HORARIOS\2021\Trim1%202021\Tarde\media\chenao\9ED4299CD4297823\SENA\TITULACIONES\HORARIOS\2021\Trim1%202021\Tarde\media\chenao\9ED4299CD4297823\SENA\TITULACIONES\HORARIOS\2021\Trim1%202021\Tarde\media\chenao\9ED4299CD4297823\SENA\TITULACIONES\HORARIOS\2021\Trim1%202021\Tarde\media\chenao\9ED4299CD4297823\SENA\TITULACIONES\HORARIOS\2021\Trim1%202021\Tarde\media\chenao\9ED4299CD4297823\SENA\TITULACIONES\HORARIOS\2021\Trim1%202021\media\chenao\9ED4299CD4297823\SENA\TITULACIONES\HORARIOS\2020\Trim4_2020\media\chenao\9ED4299CD4297823\SENA\TITULACIONES\HORARIOS\2020\Trim4_2020\media\chenao\9ED4299CD4297823\SENA\TITULACIONES\HORARIOS\2020\Trim4_2020\media\chenao\9ED4299CD4297823\SENA\TITULACIONES\HORARIOS\2020\Trim4_2020\media\chenao\9ED4299CD4297823\SENA\TITULACIONES\HORARIOS\2020\Trim4_2020\media\chenao\9ED4299CD4297823\SENA\TITULACIONES\HORARIOS\2020\Trim4_2020\media\chenao\9ED4299CD4297823\SENA\TITULACIONES\HORARIOS\2020\Trim4_2020\media\chenao\9ED4299CD4297823\SENA\TITULACIONES\HORARIOS\2020\Trim3_2020\media\chenao\9ED4299CD4297823\SENA\TITULACIONES\HORARIOS\2020\Trim3_2020\media\chenao\9ED4299CD4297823\SENA\TITULACIONES\HORARIOS\2020\Trim3_2020\media\chenao\9ED4299CD4297823\SENA\TITULACIONES\HORARIOS\2020\Trim3_2020\media\chenao\9ED4299CD4297823\SENA\TITULACIONES\HORARIOS\2020\Trim3_2020\media\chenao\9ED4299CD4297823\SENA\TITULACIONES\HORARIOS\2020\Trim3_2020\media\chenao\9ED4299CD4297823\SENA\TITULACIONES\HORARIOS\2020\Trim3_2020\media\chenao\9ED4299CD4297823\SENA\TITULACIONES\HORARIOS\2020\Trim3_2020\media\chenao\9ED4299CD4297823\SENA\TITULACIONES\HORARIOS\2020\Trim3_2020\media\chenao\9ED4299CD4297823\SENA\TITULACIONES\HORARIOS\2020\Trim2_2020\Users\yovannylopez\Google%20Drive\SENA\Formulacio&#769;n%20proyecto%20industrias%20creativas\G:\Users\jgiraldod\Documents\creador%20de%20fichasv.xltm?623464E6" TargetMode="External"/><Relationship Id="rId1" Type="http://schemas.openxmlformats.org/officeDocument/2006/relationships/externalLinkPath" Target="file:///\\623464E6\creador%20de%20fichasv.xlt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microsoft.com/office/2019/04/relationships/externalLinkLongPath" Target="file:///D:\SENA\TITULACIONES\HORARIOS\2021\Trim%202%20-%202021\Tarde\media\chenao\9ED4299CD4297823\SENA\TITULACIONES\HORARIOS\2021\Trim1%202021\Tarde\media\chenao\9ED4299CD4297823\SENA\TITULACIONES\HORARIOS\2021\Trim1%202021\Tarde\media\chenao\9ED4299CD4297823\SENA\TITULACIONES\HORARIOS\2021\Trim1%202021\Tarde\media\chenao\9ED4299CD4297823\SENA\TITULACIONES\HORARIOS\2021\Trim1%202021\Tarde\media\chenao\9ED4299CD4297823\SENA\TITULACIONES\HORARIOS\2021\Trim1%202021\Tarde\media\chenao\9ED4299CD4297823\SENA\TITULACIONES\HORARIOS\2021\Trim1%202021\media\chenao\9ED4299CD4297823\SENA\TITULACIONES\HORARIOS\2020\Trim4_2020\media\chenao\9ED4299CD4297823\SENA\TITULACIONES\HORARIOS\2020\Trim4_2020\media\chenao\9ED4299CD4297823\SENA\TITULACIONES\HORARIOS\2020\Trim4_2020\media\chenao\9ED4299CD4297823\SENA\TITULACIONES\HORARIOS\2020\Trim4_2020\media\chenao\9ED4299CD4297823\SENA\TITULACIONES\HORARIOS\2020\Trim4_2020\media\chenao\9ED4299CD4297823\SENA\TITULACIONES\HORARIOS\2020\Trim4_2020\media\chenao\9ED4299CD4297823\SENA\TITULACIONES\HORARIOS\2020\Trim4_2020\media\chenao\9ED4299CD4297823\SENA\TITULACIONES\HORARIOS\2020\Trim3_2020\media\chenao\9ED4299CD4297823\SENA\TITULACIONES\HORARIOS\2020\Trim3_2020\media\chenao\9ED4299CD4297823\SENA\TITULACIONES\HORARIOS\2020\Trim3_2020\media\chenao\9ED4299CD4297823\SENA\TITULACIONES\HORARIOS\2020\Trim3_2020\media\chenao\9ED4299CD4297823\SENA\TITULACIONES\HORARIOS\2020\Trim3_2020\media\chenao\9ED4299CD4297823\SENA\TITULACIONES\HORARIOS\2020\Trim3_2020\media\chenao\9ED4299CD4297823\SENA\TITULACIONES\HORARIOS\2020\Trim3_2020\media\chenao\9ED4299CD4297823\SENA\TITULACIONES\HORARIOS\2020\Trim3_2020\media\chenao\9ED4299CD4297823\SENA\TITULACIONES\HORARIOS\2020\Trim3_2020\media\chenao\9ED4299CD4297823\SENA\TITULACIONES\HORARIOS\2020\Trim2_2020\Users\yovannylopez\Google%20Drive\SENA\Formulacio&#769;n%20proyecto%20industrias%20creativas\G:\Project%20III%20Trimestre\FULL.xlsx?B844CEE4" TargetMode="External"/><Relationship Id="rId1" Type="http://schemas.openxmlformats.org/officeDocument/2006/relationships/externalLinkPath" Target="file:///\\B844CEE4\FUL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 de Ruta"/>
      <sheetName val="NOCHE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CHE"/>
      <sheetName val="Hoja de Ruta"/>
    </sheetNames>
    <sheetDataSet>
      <sheetData sheetId="0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2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aged-zenobia-26b.notion.site/Recolectar-informaci-n-del-software-a-construir-de-acuerdo-con-las-necesidades-del-cliente-c2087d74ffe34350a60ea1a623638dfc" TargetMode="External"/><Relationship Id="rId3" Type="http://schemas.openxmlformats.org/officeDocument/2006/relationships/hyperlink" Target="https://aged-zenobia-26b.notion.site/Desarrollar-procesos-l-gicos-a-trav-s-de-la-implementaci-n-de-algoritmos-640871a70cbf434b8c857ef401c5cb6b" TargetMode="External"/><Relationship Id="rId7" Type="http://schemas.openxmlformats.org/officeDocument/2006/relationships/hyperlink" Target="https://aged-zenobia-26b.notion.site/Establecer-los-requisitos-del-software-de-acuerdo-con-la-informaci-n-recolectada-57b0acd1b0f04721b901bde6026e274c" TargetMode="External"/><Relationship Id="rId2" Type="http://schemas.openxmlformats.org/officeDocument/2006/relationships/hyperlink" Target="https://aged-zenobia-26b.notion.site/Modelar-las-funciones-del-software-de-acuerdo-con-el-informe-de-requisitos-36a87d5c69504277b74d70ae79336b1c" TargetMode="External"/><Relationship Id="rId1" Type="http://schemas.openxmlformats.org/officeDocument/2006/relationships/hyperlink" Target="https://aged-zenobia-26b.notion.site/Definir-especificaciones-t-cnicas-del-software-de-acuerdo-con-las-caracter-sticas-del-software-a-con-a870075135d84c2eb6b34fd4b7a47165" TargetMode="External"/><Relationship Id="rId6" Type="http://schemas.openxmlformats.org/officeDocument/2006/relationships/hyperlink" Target="https://aged-zenobia-26b.notion.site/Validar-el-informe-de-requisitos-de-acuerdo-con-las-necesidades-del-cliente-56fe0e08396440bc9d383198bd426b2f" TargetMode="External"/><Relationship Id="rId5" Type="http://schemas.openxmlformats.org/officeDocument/2006/relationships/hyperlink" Target="https://aged-zenobia-26b.notion.site/Planear-actividades-de-an-lisis-de-acuerdo-con-la-metodolog-a-seleccionada-af6dc227495642609da6203f4a0bf2c0" TargetMode="External"/><Relationship Id="rId4" Type="http://schemas.openxmlformats.org/officeDocument/2006/relationships/hyperlink" Target="https://aged-zenobia-26b.notion.site/Verificar-los-modelos-realizados-en-la-fase-de-an-lisis-de-acuerdo-con-lo-establecido-en-el-informe--c72c416791e049ee8ed3951e2ef46f72" TargetMode="External"/><Relationship Id="rId9" Type="http://schemas.openxmlformats.org/officeDocument/2006/relationships/hyperlink" Target="https://aged-zenobia-26b.notion.site/Caracterizar-los-procesos-de-la-organizaci-n-de-acuerdo-con-el-software-a-construir-27964e8cc13b42d3bf25e4b100294bc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C000"/>
  </sheetPr>
  <dimension ref="B1:L64"/>
  <sheetViews>
    <sheetView tabSelected="1" topLeftCell="A48" zoomScale="85" zoomScaleNormal="85" workbookViewId="0">
      <selection activeCell="B53" sqref="B53:E53"/>
    </sheetView>
  </sheetViews>
  <sheetFormatPr baseColWidth="10" defaultColWidth="10.85546875" defaultRowHeight="15"/>
  <cols>
    <col min="1" max="1" width="8.85546875" customWidth="1"/>
    <col min="2" max="2" width="13.28515625" customWidth="1"/>
    <col min="3" max="3" width="12.5703125" customWidth="1"/>
    <col min="4" max="8" width="16.7109375" customWidth="1"/>
    <col min="11" max="11" width="20" customWidth="1"/>
    <col min="12" max="12" width="11" customWidth="1"/>
  </cols>
  <sheetData>
    <row r="1" spans="2:12" ht="15.75" thickBot="1"/>
    <row r="2" spans="2:12" ht="14.45" customHeight="1">
      <c r="B2" s="1" t="s">
        <v>0</v>
      </c>
      <c r="C2" s="20" t="s">
        <v>1</v>
      </c>
      <c r="D2" s="101" t="s">
        <v>2</v>
      </c>
      <c r="E2" s="101"/>
      <c r="F2" s="101"/>
      <c r="G2" s="20" t="s">
        <v>3</v>
      </c>
      <c r="H2" s="31" t="s">
        <v>4</v>
      </c>
      <c r="I2" s="2"/>
    </row>
    <row r="3" spans="2:12" ht="3.75" customHeight="1">
      <c r="B3" s="102"/>
      <c r="C3" s="102"/>
      <c r="D3" s="102"/>
      <c r="E3" s="102"/>
      <c r="F3" s="102"/>
      <c r="G3" s="102"/>
      <c r="H3" s="103"/>
      <c r="I3" s="19"/>
    </row>
    <row r="4" spans="2:12" ht="19.5" customHeight="1">
      <c r="B4" s="11" t="s">
        <v>84</v>
      </c>
      <c r="C4" s="3" t="s">
        <v>5</v>
      </c>
      <c r="D4" s="97" t="s">
        <v>54</v>
      </c>
      <c r="E4" s="97"/>
      <c r="F4" s="97"/>
      <c r="G4" s="3"/>
      <c r="H4" s="32"/>
      <c r="I4" s="35"/>
    </row>
    <row r="5" spans="2:12" ht="4.5" customHeight="1">
      <c r="B5" s="89"/>
      <c r="C5" s="89"/>
      <c r="D5" s="89"/>
      <c r="E5" s="89"/>
      <c r="F5" s="89"/>
      <c r="G5" s="89"/>
      <c r="H5" s="90"/>
      <c r="I5" s="35"/>
    </row>
    <row r="6" spans="2:12" ht="19.5" customHeight="1">
      <c r="B6" s="98" t="s">
        <v>6</v>
      </c>
      <c r="C6" s="98"/>
      <c r="D6" s="104" t="s">
        <v>7</v>
      </c>
      <c r="E6" s="104"/>
      <c r="F6" s="104"/>
      <c r="G6" s="21" t="s">
        <v>8</v>
      </c>
      <c r="H6" s="33" t="s">
        <v>9</v>
      </c>
      <c r="I6" s="19"/>
    </row>
    <row r="7" spans="2:12" ht="3.75" customHeight="1">
      <c r="B7" s="89"/>
      <c r="C7" s="89"/>
      <c r="D7" s="89"/>
      <c r="E7" s="89"/>
      <c r="F7" s="89"/>
      <c r="G7" s="89"/>
      <c r="H7" s="90"/>
      <c r="I7" s="35"/>
    </row>
    <row r="8" spans="2:12" ht="19.5" customHeight="1">
      <c r="B8" s="96">
        <v>7</v>
      </c>
      <c r="C8" s="96"/>
      <c r="D8" s="97" t="s">
        <v>78</v>
      </c>
      <c r="E8" s="97"/>
      <c r="F8" s="97"/>
      <c r="G8" s="4"/>
      <c r="H8" s="34"/>
      <c r="I8" s="35"/>
    </row>
    <row r="9" spans="2:12" ht="3.75" customHeight="1">
      <c r="B9" s="89"/>
      <c r="C9" s="89"/>
      <c r="D9" s="89"/>
      <c r="E9" s="89"/>
      <c r="F9" s="89"/>
      <c r="G9" s="89"/>
      <c r="H9" s="90"/>
      <c r="I9" s="35"/>
    </row>
    <row r="10" spans="2:12" ht="19.5" customHeight="1">
      <c r="B10" s="98" t="s">
        <v>10</v>
      </c>
      <c r="C10" s="98"/>
      <c r="D10" s="99" t="s">
        <v>11</v>
      </c>
      <c r="E10" s="99"/>
      <c r="F10" s="99"/>
      <c r="G10" s="99"/>
      <c r="H10" s="100"/>
      <c r="I10" s="19"/>
    </row>
    <row r="11" spans="2:12" ht="3.75" customHeight="1">
      <c r="B11" s="89"/>
      <c r="C11" s="89"/>
      <c r="D11" s="89"/>
      <c r="E11" s="89"/>
      <c r="F11" s="89"/>
      <c r="G11" s="89"/>
      <c r="H11" s="90"/>
      <c r="I11" s="35"/>
    </row>
    <row r="12" spans="2:12" ht="28.5" customHeight="1" thickBot="1">
      <c r="B12" s="91">
        <v>1</v>
      </c>
      <c r="C12" s="91"/>
      <c r="D12" s="92" t="s">
        <v>32</v>
      </c>
      <c r="E12" s="92"/>
      <c r="F12" s="92"/>
      <c r="G12" s="92"/>
      <c r="H12" s="93"/>
      <c r="I12" s="38"/>
    </row>
    <row r="13" spans="2:12" ht="19.5" customHeight="1" thickBot="1">
      <c r="B13" s="94" t="s">
        <v>12</v>
      </c>
      <c r="C13" s="94"/>
      <c r="D13" s="36" t="s">
        <v>13</v>
      </c>
      <c r="E13" s="36" t="s">
        <v>14</v>
      </c>
      <c r="F13" s="36" t="s">
        <v>15</v>
      </c>
      <c r="G13" s="36" t="s">
        <v>16</v>
      </c>
      <c r="H13" s="37" t="s">
        <v>17</v>
      </c>
      <c r="I13" s="39" t="s">
        <v>28</v>
      </c>
    </row>
    <row r="14" spans="2:12" ht="16.350000000000001" customHeight="1" thickBot="1">
      <c r="B14" s="14">
        <v>0.33333333333333298</v>
      </c>
      <c r="C14" s="29">
        <v>0.35416666666666702</v>
      </c>
      <c r="D14" s="95"/>
      <c r="E14" s="95"/>
      <c r="F14" s="95"/>
      <c r="G14" s="95"/>
      <c r="H14" s="95"/>
      <c r="I14" s="64" t="s">
        <v>29</v>
      </c>
      <c r="K14" s="88" t="s">
        <v>18</v>
      </c>
      <c r="L14" s="88"/>
    </row>
    <row r="15" spans="2:12" ht="16.350000000000001" customHeight="1">
      <c r="B15" s="30">
        <v>0.35416666666666702</v>
      </c>
      <c r="C15" s="10">
        <v>0.375</v>
      </c>
      <c r="D15" s="71"/>
      <c r="E15" s="71"/>
      <c r="F15" s="71"/>
      <c r="G15" s="71"/>
      <c r="H15" s="71"/>
      <c r="I15" s="65"/>
      <c r="K15" s="22" t="s">
        <v>78</v>
      </c>
      <c r="L15" s="23">
        <v>10</v>
      </c>
    </row>
    <row r="16" spans="2:12" ht="16.350000000000001" customHeight="1">
      <c r="B16" s="30">
        <v>0.375</v>
      </c>
      <c r="C16" s="10">
        <v>0.39583333333333298</v>
      </c>
      <c r="D16" s="71"/>
      <c r="E16" s="71"/>
      <c r="F16" s="71"/>
      <c r="G16" s="71"/>
      <c r="H16" s="71"/>
      <c r="I16" s="65"/>
      <c r="K16" s="24" t="s">
        <v>79</v>
      </c>
      <c r="L16" s="25">
        <v>6</v>
      </c>
    </row>
    <row r="17" spans="2:12" ht="16.350000000000001" customHeight="1">
      <c r="B17" s="30">
        <v>0.39583333333333298</v>
      </c>
      <c r="C17" s="10">
        <v>0.41666666666666702</v>
      </c>
      <c r="D17" s="71"/>
      <c r="E17" s="71"/>
      <c r="F17" s="71"/>
      <c r="G17" s="71"/>
      <c r="H17" s="71"/>
      <c r="I17" s="66"/>
      <c r="K17" s="24" t="s">
        <v>83</v>
      </c>
      <c r="L17" s="26">
        <v>6</v>
      </c>
    </row>
    <row r="18" spans="2:12" ht="16.350000000000001" customHeight="1">
      <c r="B18" s="30">
        <v>0.41666666666666702</v>
      </c>
      <c r="C18" s="10">
        <v>0.4375</v>
      </c>
      <c r="D18" s="71"/>
      <c r="E18" s="71"/>
      <c r="F18" s="71"/>
      <c r="G18" s="71"/>
      <c r="H18" s="71"/>
      <c r="I18" s="64" t="s">
        <v>29</v>
      </c>
      <c r="K18" s="24" t="s">
        <v>79</v>
      </c>
      <c r="L18" s="25">
        <v>4</v>
      </c>
    </row>
    <row r="19" spans="2:12" ht="16.350000000000001" customHeight="1" thickBot="1">
      <c r="B19" s="30">
        <v>0.4375</v>
      </c>
      <c r="C19" s="10">
        <v>0.45833333333333298</v>
      </c>
      <c r="D19" s="71"/>
      <c r="E19" s="71"/>
      <c r="F19" s="71"/>
      <c r="G19" s="71"/>
      <c r="H19" s="71"/>
      <c r="I19" s="65"/>
      <c r="K19" s="24" t="s">
        <v>29</v>
      </c>
      <c r="L19" s="27">
        <v>4</v>
      </c>
    </row>
    <row r="20" spans="2:12" ht="16.350000000000001" customHeight="1" thickBot="1">
      <c r="B20" s="30">
        <v>0.45833333333333298</v>
      </c>
      <c r="C20" s="10">
        <v>0.47916666666666702</v>
      </c>
      <c r="D20" s="71"/>
      <c r="E20" s="71"/>
      <c r="F20" s="71"/>
      <c r="G20" s="71"/>
      <c r="H20" s="71"/>
      <c r="I20" s="65"/>
      <c r="K20" s="24"/>
      <c r="L20" s="27"/>
    </row>
    <row r="21" spans="2:12" ht="16.350000000000001" customHeight="1">
      <c r="B21" s="30">
        <v>0.47916666666666602</v>
      </c>
      <c r="C21" s="10">
        <v>0.5</v>
      </c>
      <c r="D21" s="71"/>
      <c r="E21" s="71"/>
      <c r="F21" s="71"/>
      <c r="G21" s="71"/>
      <c r="H21" s="71"/>
      <c r="I21" s="66"/>
      <c r="L21" s="28">
        <f>SUM(L15:L20)</f>
        <v>30</v>
      </c>
    </row>
    <row r="22" spans="2:12" ht="16.350000000000001" customHeight="1">
      <c r="B22" s="30">
        <v>0.5</v>
      </c>
      <c r="C22" s="10">
        <v>0.52083333333333304</v>
      </c>
      <c r="D22" s="71"/>
      <c r="E22" s="71"/>
      <c r="F22" s="71"/>
      <c r="G22" s="71"/>
      <c r="H22" s="71"/>
      <c r="I22" s="64" t="s">
        <v>80</v>
      </c>
      <c r="L22" s="5"/>
    </row>
    <row r="23" spans="2:12" ht="16.350000000000001" customHeight="1">
      <c r="B23" s="30">
        <v>0.52083333333333304</v>
      </c>
      <c r="C23" s="10">
        <v>0.54166666666666696</v>
      </c>
      <c r="D23" s="71"/>
      <c r="E23" s="71"/>
      <c r="F23" s="71"/>
      <c r="G23" s="71"/>
      <c r="H23" s="71"/>
      <c r="I23" s="65"/>
    </row>
    <row r="24" spans="2:12" ht="16.350000000000001" customHeight="1">
      <c r="B24" s="30">
        <v>0.54166666666666596</v>
      </c>
      <c r="C24" s="10">
        <v>0.5625</v>
      </c>
      <c r="D24" s="71"/>
      <c r="E24" s="71"/>
      <c r="F24" s="71"/>
      <c r="G24" s="71"/>
      <c r="H24" s="71"/>
      <c r="I24" s="65"/>
    </row>
    <row r="25" spans="2:12" ht="16.350000000000001" customHeight="1">
      <c r="B25" s="30">
        <v>0.5625</v>
      </c>
      <c r="C25" s="10">
        <v>0.58333333333333404</v>
      </c>
      <c r="D25" s="71"/>
      <c r="E25" s="71"/>
      <c r="F25" s="71"/>
      <c r="G25" s="71"/>
      <c r="H25" s="71"/>
      <c r="I25" s="66"/>
    </row>
    <row r="26" spans="2:12" ht="16.350000000000001" customHeight="1">
      <c r="B26" s="30">
        <v>0.58333333333333304</v>
      </c>
      <c r="C26" s="10">
        <v>0.60416666666666696</v>
      </c>
      <c r="D26" s="61"/>
      <c r="E26" s="61"/>
      <c r="F26" s="61"/>
      <c r="G26" s="61"/>
      <c r="H26" s="61"/>
      <c r="I26" s="64" t="s">
        <v>81</v>
      </c>
      <c r="J26" s="13"/>
    </row>
    <row r="27" spans="2:12" ht="16.350000000000001" customHeight="1">
      <c r="B27" s="30">
        <v>0.60416666666666596</v>
      </c>
      <c r="C27" s="10">
        <v>0.625</v>
      </c>
      <c r="D27" s="62"/>
      <c r="E27" s="62"/>
      <c r="F27" s="62"/>
      <c r="G27" s="62"/>
      <c r="H27" s="62"/>
      <c r="I27" s="65"/>
      <c r="J27" s="13"/>
    </row>
    <row r="28" spans="2:12" ht="16.350000000000001" customHeight="1">
      <c r="B28" s="30">
        <v>0.625</v>
      </c>
      <c r="C28" s="10">
        <v>0.64583333333333404</v>
      </c>
      <c r="D28" s="62"/>
      <c r="E28" s="62"/>
      <c r="F28" s="62"/>
      <c r="G28" s="62"/>
      <c r="H28" s="62"/>
      <c r="I28" s="65"/>
      <c r="J28" s="13"/>
    </row>
    <row r="29" spans="2:12" ht="16.350000000000001" customHeight="1">
      <c r="B29" s="30">
        <v>0.64583333333333304</v>
      </c>
      <c r="C29" s="10">
        <v>0.66666666666666696</v>
      </c>
      <c r="D29" s="63"/>
      <c r="E29" s="63"/>
      <c r="F29" s="63"/>
      <c r="G29" s="63"/>
      <c r="H29" s="63"/>
      <c r="I29" s="66"/>
      <c r="J29" s="13"/>
    </row>
    <row r="30" spans="2:12" ht="16.350000000000001" customHeight="1">
      <c r="B30" s="30">
        <v>0.66666666666666596</v>
      </c>
      <c r="C30" s="10">
        <v>0.6875</v>
      </c>
      <c r="D30" s="61"/>
      <c r="E30" s="61"/>
      <c r="F30" s="61"/>
      <c r="G30" s="61"/>
      <c r="H30" s="61"/>
      <c r="I30" s="64" t="s">
        <v>81</v>
      </c>
      <c r="J30" s="13"/>
    </row>
    <row r="31" spans="2:12" ht="16.350000000000001" customHeight="1">
      <c r="B31" s="30">
        <v>0.6875</v>
      </c>
      <c r="C31" s="10">
        <v>0.70833333333333404</v>
      </c>
      <c r="D31" s="62"/>
      <c r="E31" s="62"/>
      <c r="F31" s="62"/>
      <c r="G31" s="62"/>
      <c r="H31" s="62"/>
      <c r="I31" s="65"/>
      <c r="J31" s="13"/>
    </row>
    <row r="32" spans="2:12" ht="16.350000000000001" customHeight="1">
      <c r="B32" s="30">
        <v>0.70833333333333304</v>
      </c>
      <c r="C32" s="10">
        <v>0.72916666666666696</v>
      </c>
      <c r="D32" s="62"/>
      <c r="E32" s="62"/>
      <c r="F32" s="62"/>
      <c r="G32" s="62"/>
      <c r="H32" s="62"/>
      <c r="I32" s="65"/>
      <c r="J32" s="13"/>
    </row>
    <row r="33" spans="2:10" ht="16.350000000000001" customHeight="1">
      <c r="B33" s="30">
        <v>0.72916666666666596</v>
      </c>
      <c r="C33" s="10">
        <v>0.750000000000001</v>
      </c>
      <c r="D33" s="63"/>
      <c r="E33" s="63"/>
      <c r="F33" s="63"/>
      <c r="G33" s="63"/>
      <c r="H33" s="63"/>
      <c r="I33" s="66"/>
      <c r="J33" s="13"/>
    </row>
    <row r="34" spans="2:10" ht="16.350000000000001" customHeight="1">
      <c r="B34" s="15">
        <v>0.75</v>
      </c>
      <c r="C34" s="16">
        <v>0.77083333333333404</v>
      </c>
      <c r="D34" s="69" t="s">
        <v>80</v>
      </c>
      <c r="E34" s="71" t="s">
        <v>78</v>
      </c>
      <c r="F34" s="69" t="s">
        <v>80</v>
      </c>
      <c r="G34" s="71" t="s">
        <v>78</v>
      </c>
      <c r="H34" s="64" t="s">
        <v>78</v>
      </c>
      <c r="I34" s="67" t="s">
        <v>26</v>
      </c>
      <c r="J34" s="13"/>
    </row>
    <row r="35" spans="2:10" ht="16.350000000000001" customHeight="1">
      <c r="B35" s="15">
        <v>0.77083333333333304</v>
      </c>
      <c r="C35" s="16">
        <v>0.79166666666666696</v>
      </c>
      <c r="D35" s="69"/>
      <c r="E35" s="71"/>
      <c r="F35" s="69"/>
      <c r="G35" s="71"/>
      <c r="H35" s="65"/>
      <c r="I35" s="67"/>
      <c r="J35" s="13"/>
    </row>
    <row r="36" spans="2:10" ht="16.350000000000001" customHeight="1">
      <c r="B36" s="15">
        <v>0.79166666666666596</v>
      </c>
      <c r="C36" s="16">
        <v>0.812500000000001</v>
      </c>
      <c r="D36" s="69"/>
      <c r="E36" s="71"/>
      <c r="F36" s="69"/>
      <c r="G36" s="71"/>
      <c r="H36" s="65"/>
      <c r="I36" s="67"/>
      <c r="J36" s="13"/>
    </row>
    <row r="37" spans="2:10" ht="16.350000000000001" customHeight="1">
      <c r="B37" s="15">
        <v>0.8125</v>
      </c>
      <c r="C37" s="16">
        <v>0.83333333333333404</v>
      </c>
      <c r="D37" s="69"/>
      <c r="E37" s="71"/>
      <c r="F37" s="69"/>
      <c r="G37" s="71"/>
      <c r="H37" s="66"/>
      <c r="I37" s="67"/>
      <c r="J37" s="13"/>
    </row>
    <row r="38" spans="2:10" ht="16.350000000000001" customHeight="1">
      <c r="B38" s="15">
        <v>0.83333333333333304</v>
      </c>
      <c r="C38" s="16">
        <v>0.85416666666666696</v>
      </c>
      <c r="D38" s="69"/>
      <c r="E38" s="71" t="s">
        <v>27</v>
      </c>
      <c r="F38" s="69"/>
      <c r="G38" s="71" t="s">
        <v>27</v>
      </c>
      <c r="H38" s="64" t="s">
        <v>81</v>
      </c>
      <c r="I38" s="67"/>
      <c r="J38" s="13"/>
    </row>
    <row r="39" spans="2:10" ht="16.350000000000001" customHeight="1">
      <c r="B39" s="15">
        <v>0.85416666666666596</v>
      </c>
      <c r="C39" s="16">
        <v>0.875000000000001</v>
      </c>
      <c r="D39" s="69"/>
      <c r="E39" s="71"/>
      <c r="F39" s="69"/>
      <c r="G39" s="71"/>
      <c r="H39" s="65"/>
      <c r="I39" s="67"/>
      <c r="J39" s="13"/>
    </row>
    <row r="40" spans="2:10" ht="16.350000000000001" customHeight="1">
      <c r="B40" s="15">
        <v>0.874999999999999</v>
      </c>
      <c r="C40" s="16">
        <v>0.89583333333333404</v>
      </c>
      <c r="D40" s="69"/>
      <c r="E40" s="71"/>
      <c r="F40" s="69"/>
      <c r="G40" s="71"/>
      <c r="H40" s="65"/>
      <c r="I40" s="67"/>
      <c r="J40" s="13"/>
    </row>
    <row r="41" spans="2:10" ht="16.350000000000001" customHeight="1" thickBot="1">
      <c r="B41" s="17">
        <v>0.89583333333333304</v>
      </c>
      <c r="C41" s="18">
        <v>0.91666666666666696</v>
      </c>
      <c r="D41" s="70"/>
      <c r="E41" s="72"/>
      <c r="F41" s="70"/>
      <c r="G41" s="72"/>
      <c r="H41" s="66"/>
      <c r="I41" s="68"/>
      <c r="J41" s="13"/>
    </row>
    <row r="42" spans="2:10" ht="16.350000000000001" customHeight="1">
      <c r="B42" s="12"/>
      <c r="C42" s="12"/>
      <c r="D42" s="13"/>
      <c r="E42" s="13"/>
      <c r="F42" s="13"/>
      <c r="G42" s="13"/>
      <c r="H42" s="13"/>
      <c r="J42" s="13"/>
    </row>
    <row r="43" spans="2:10">
      <c r="B43" s="56"/>
    </row>
    <row r="44" spans="2:10">
      <c r="B44" s="83" t="s">
        <v>19</v>
      </c>
      <c r="C44" s="83"/>
      <c r="D44" s="83"/>
      <c r="E44" s="83"/>
      <c r="F44" s="54" t="s">
        <v>20</v>
      </c>
      <c r="G44" s="54" t="s">
        <v>21</v>
      </c>
      <c r="H44" s="54" t="s">
        <v>22</v>
      </c>
      <c r="I44" s="54" t="s">
        <v>23</v>
      </c>
      <c r="J44" s="54" t="s">
        <v>24</v>
      </c>
    </row>
    <row r="45" spans="2:10" ht="41.85" customHeight="1">
      <c r="B45" s="84" t="s">
        <v>73</v>
      </c>
      <c r="C45" s="84"/>
      <c r="D45" s="84"/>
      <c r="E45" s="84"/>
      <c r="F45" s="6"/>
      <c r="G45" s="6"/>
      <c r="H45" s="6"/>
      <c r="I45" s="6"/>
      <c r="J45" s="7"/>
    </row>
    <row r="46" spans="2:10" ht="41.85" customHeight="1">
      <c r="B46" s="77" t="s">
        <v>37</v>
      </c>
      <c r="C46" s="77"/>
      <c r="D46" s="77"/>
      <c r="E46" s="77"/>
      <c r="F46" s="8"/>
      <c r="G46" s="8"/>
      <c r="H46" s="9" t="s">
        <v>80</v>
      </c>
      <c r="I46" s="9">
        <v>20</v>
      </c>
      <c r="J46" s="9"/>
    </row>
    <row r="47" spans="2:10" ht="41.85" customHeight="1">
      <c r="B47" s="77" t="s">
        <v>38</v>
      </c>
      <c r="C47" s="77"/>
      <c r="D47" s="77"/>
      <c r="E47" s="77"/>
      <c r="F47" s="8"/>
      <c r="G47" s="8"/>
      <c r="H47" s="9" t="s">
        <v>80</v>
      </c>
      <c r="I47" s="9">
        <v>20</v>
      </c>
      <c r="J47" s="9"/>
    </row>
    <row r="48" spans="2:10" ht="41.85" customHeight="1">
      <c r="B48" s="85" t="s">
        <v>39</v>
      </c>
      <c r="C48" s="86"/>
      <c r="D48" s="86"/>
      <c r="E48" s="87"/>
      <c r="F48" s="8"/>
      <c r="G48" s="8"/>
      <c r="H48" s="9" t="s">
        <v>80</v>
      </c>
      <c r="I48" s="9">
        <v>20</v>
      </c>
      <c r="J48" s="9"/>
    </row>
    <row r="49" spans="2:10" ht="41.85" customHeight="1">
      <c r="B49" s="85" t="s">
        <v>40</v>
      </c>
      <c r="C49" s="86"/>
      <c r="D49" s="86"/>
      <c r="E49" s="87"/>
      <c r="F49" s="8"/>
      <c r="G49" s="8"/>
      <c r="H49" s="9" t="s">
        <v>82</v>
      </c>
      <c r="I49" s="9">
        <v>20</v>
      </c>
      <c r="J49" s="9"/>
    </row>
    <row r="50" spans="2:10" ht="41.85" customHeight="1">
      <c r="B50" s="75" t="s">
        <v>74</v>
      </c>
      <c r="C50" s="75"/>
      <c r="D50" s="75"/>
      <c r="E50" s="75"/>
      <c r="F50" s="6"/>
      <c r="G50" s="6"/>
      <c r="H50" s="6"/>
      <c r="I50" s="6"/>
      <c r="J50" s="7"/>
    </row>
    <row r="51" spans="2:10" ht="28.9" customHeight="1">
      <c r="B51" s="78" t="s">
        <v>42</v>
      </c>
      <c r="C51" s="78"/>
      <c r="D51" s="78"/>
      <c r="E51" s="78"/>
      <c r="F51" s="8"/>
      <c r="G51" s="8"/>
      <c r="H51" s="9" t="s">
        <v>80</v>
      </c>
      <c r="I51" s="9">
        <v>40</v>
      </c>
      <c r="J51" s="7"/>
    </row>
    <row r="52" spans="2:10" ht="28.9" customHeight="1">
      <c r="B52" s="80" t="s">
        <v>43</v>
      </c>
      <c r="C52" s="81"/>
      <c r="D52" s="81"/>
      <c r="E52" s="82"/>
      <c r="F52" s="8"/>
      <c r="G52" s="8"/>
      <c r="H52" s="9" t="s">
        <v>78</v>
      </c>
      <c r="I52" s="9">
        <v>60</v>
      </c>
      <c r="J52" s="7"/>
    </row>
    <row r="53" spans="2:10" ht="28.9" customHeight="1">
      <c r="B53" s="80" t="s">
        <v>44</v>
      </c>
      <c r="C53" s="81"/>
      <c r="D53" s="81"/>
      <c r="E53" s="82"/>
      <c r="F53" s="8"/>
      <c r="G53" s="8"/>
      <c r="H53" s="9" t="s">
        <v>78</v>
      </c>
      <c r="I53" s="9">
        <v>20</v>
      </c>
      <c r="J53" s="7"/>
    </row>
    <row r="54" spans="2:10" ht="28.9" customHeight="1">
      <c r="B54" s="80" t="s">
        <v>45</v>
      </c>
      <c r="C54" s="81"/>
      <c r="D54" s="81"/>
      <c r="E54" s="82"/>
      <c r="F54" s="8"/>
      <c r="G54" s="8"/>
      <c r="H54" s="9" t="s">
        <v>78</v>
      </c>
      <c r="I54" s="9">
        <v>20</v>
      </c>
      <c r="J54" s="7"/>
    </row>
    <row r="55" spans="2:10" ht="31.5" customHeight="1">
      <c r="B55" s="79" t="s">
        <v>75</v>
      </c>
      <c r="C55" s="79"/>
      <c r="D55" s="79"/>
      <c r="E55" s="79"/>
      <c r="F55" s="6"/>
      <c r="G55" s="6"/>
      <c r="H55" s="6"/>
      <c r="I55" s="6"/>
      <c r="J55" s="7"/>
    </row>
    <row r="56" spans="2:10" ht="41.85" customHeight="1">
      <c r="B56" s="78" t="s">
        <v>50</v>
      </c>
      <c r="C56" s="78"/>
      <c r="D56" s="78"/>
      <c r="E56" s="78"/>
      <c r="F56" s="8"/>
      <c r="G56" s="8"/>
      <c r="H56" s="9" t="s">
        <v>82</v>
      </c>
      <c r="I56" s="9">
        <v>20</v>
      </c>
      <c r="J56" s="9"/>
    </row>
    <row r="57" spans="2:10" ht="41.85" customHeight="1">
      <c r="B57" s="79" t="s">
        <v>47</v>
      </c>
      <c r="C57" s="79"/>
      <c r="D57" s="79"/>
      <c r="E57" s="79"/>
      <c r="F57" s="8"/>
      <c r="G57" s="8"/>
      <c r="H57" s="9"/>
      <c r="I57" s="9"/>
      <c r="J57" s="9"/>
    </row>
    <row r="58" spans="2:10" ht="41.85" customHeight="1">
      <c r="B58" s="77" t="s">
        <v>48</v>
      </c>
      <c r="C58" s="77"/>
      <c r="D58" s="77"/>
      <c r="E58" s="77"/>
      <c r="F58" s="8"/>
      <c r="G58" s="8"/>
      <c r="H58" s="9" t="s">
        <v>82</v>
      </c>
      <c r="I58" s="9">
        <v>10</v>
      </c>
      <c r="J58" s="9"/>
    </row>
    <row r="59" spans="2:10" ht="54.75" customHeight="1">
      <c r="B59" s="77" t="s">
        <v>49</v>
      </c>
      <c r="C59" s="77"/>
      <c r="D59" s="77"/>
      <c r="E59" s="77"/>
      <c r="F59" s="8"/>
      <c r="G59" s="8"/>
      <c r="H59" s="9" t="s">
        <v>82</v>
      </c>
      <c r="I59" s="9">
        <v>10</v>
      </c>
      <c r="J59" s="9"/>
    </row>
    <row r="60" spans="2:10" ht="53.25" customHeight="1">
      <c r="B60" s="75" t="s">
        <v>51</v>
      </c>
      <c r="C60" s="75"/>
      <c r="D60" s="75"/>
      <c r="E60" s="75"/>
      <c r="F60" s="6"/>
      <c r="G60" s="6"/>
      <c r="H60" s="6"/>
      <c r="I60" s="6"/>
      <c r="J60" s="7"/>
    </row>
    <row r="61" spans="2:10" ht="14.85" customHeight="1">
      <c r="B61" s="76" t="s">
        <v>25</v>
      </c>
      <c r="C61" s="76"/>
      <c r="D61" s="76"/>
      <c r="E61" s="76"/>
      <c r="F61" s="6"/>
      <c r="G61" s="6"/>
      <c r="H61" s="6"/>
      <c r="I61" s="6"/>
      <c r="J61" s="7"/>
    </row>
    <row r="62" spans="2:10" ht="46.5" customHeight="1">
      <c r="B62" s="77" t="s">
        <v>52</v>
      </c>
      <c r="C62" s="77"/>
      <c r="D62" s="77"/>
      <c r="E62" s="77"/>
      <c r="F62" s="8"/>
      <c r="G62" s="8"/>
      <c r="H62" s="8" t="s">
        <v>29</v>
      </c>
      <c r="I62" s="8">
        <v>40</v>
      </c>
      <c r="J62" s="9"/>
    </row>
    <row r="63" spans="2:10" ht="21" customHeight="1" thickBot="1">
      <c r="B63" s="73" t="s">
        <v>76</v>
      </c>
      <c r="C63" s="73"/>
      <c r="D63" s="73"/>
      <c r="E63" s="73"/>
      <c r="F63" s="57"/>
      <c r="G63" s="57"/>
      <c r="H63" s="8"/>
      <c r="I63" s="8"/>
      <c r="J63" s="58"/>
    </row>
    <row r="64" spans="2:10" ht="54" customHeight="1" thickBot="1">
      <c r="B64" s="74" t="s">
        <v>77</v>
      </c>
      <c r="C64" s="74"/>
      <c r="D64" s="74"/>
      <c r="E64" s="74"/>
      <c r="F64" s="57"/>
      <c r="G64" s="57"/>
      <c r="H64" s="8"/>
      <c r="I64" s="8"/>
      <c r="J64" s="58"/>
    </row>
  </sheetData>
  <mergeCells count="75">
    <mergeCell ref="D2:F2"/>
    <mergeCell ref="B3:H3"/>
    <mergeCell ref="D4:F4"/>
    <mergeCell ref="B5:H5"/>
    <mergeCell ref="B6:C6"/>
    <mergeCell ref="D6:F6"/>
    <mergeCell ref="B7:H7"/>
    <mergeCell ref="B8:C8"/>
    <mergeCell ref="D8:F8"/>
    <mergeCell ref="B9:H9"/>
    <mergeCell ref="B10:C10"/>
    <mergeCell ref="D10:H10"/>
    <mergeCell ref="B11:H11"/>
    <mergeCell ref="B12:C12"/>
    <mergeCell ref="D12:H12"/>
    <mergeCell ref="B13:C13"/>
    <mergeCell ref="D14:D17"/>
    <mergeCell ref="E14:E17"/>
    <mergeCell ref="F14:F17"/>
    <mergeCell ref="G14:G17"/>
    <mergeCell ref="H14:H17"/>
    <mergeCell ref="F22:F25"/>
    <mergeCell ref="G22:G25"/>
    <mergeCell ref="H22:H25"/>
    <mergeCell ref="K14:L14"/>
    <mergeCell ref="D18:D21"/>
    <mergeCell ref="E18:E21"/>
    <mergeCell ref="F18:F21"/>
    <mergeCell ref="G18:G21"/>
    <mergeCell ref="H18:H21"/>
    <mergeCell ref="I14:I17"/>
    <mergeCell ref="D22:D25"/>
    <mergeCell ref="E22:E25"/>
    <mergeCell ref="I18:I21"/>
    <mergeCell ref="I22:I25"/>
    <mergeCell ref="B45:E45"/>
    <mergeCell ref="B46:E46"/>
    <mergeCell ref="B47:E47"/>
    <mergeCell ref="B50:E50"/>
    <mergeCell ref="B49:E49"/>
    <mergeCell ref="B48:E48"/>
    <mergeCell ref="I26:I29"/>
    <mergeCell ref="B63:E63"/>
    <mergeCell ref="B64:E64"/>
    <mergeCell ref="B60:E60"/>
    <mergeCell ref="B61:E61"/>
    <mergeCell ref="B62:E62"/>
    <mergeCell ref="B59:E59"/>
    <mergeCell ref="B51:E51"/>
    <mergeCell ref="B55:E55"/>
    <mergeCell ref="B56:E56"/>
    <mergeCell ref="B57:E57"/>
    <mergeCell ref="B58:E58"/>
    <mergeCell ref="B54:E54"/>
    <mergeCell ref="B52:E52"/>
    <mergeCell ref="B53:E53"/>
    <mergeCell ref="B44:E44"/>
    <mergeCell ref="I30:I33"/>
    <mergeCell ref="I34:I41"/>
    <mergeCell ref="D34:D41"/>
    <mergeCell ref="E34:E41"/>
    <mergeCell ref="F34:F41"/>
    <mergeCell ref="G34:G41"/>
    <mergeCell ref="D30:D33"/>
    <mergeCell ref="E30:E33"/>
    <mergeCell ref="F30:F33"/>
    <mergeCell ref="G30:G33"/>
    <mergeCell ref="H26:H29"/>
    <mergeCell ref="H30:H33"/>
    <mergeCell ref="H34:H37"/>
    <mergeCell ref="H38:H41"/>
    <mergeCell ref="D26:D29"/>
    <mergeCell ref="E26:E29"/>
    <mergeCell ref="F26:F29"/>
    <mergeCell ref="G26:G29"/>
  </mergeCells>
  <phoneticPr fontId="10" type="noConversion"/>
  <pageMargins left="0.7" right="0.7" top="0.75" bottom="0.75" header="0.51180555555555496" footer="0.51180555555555496"/>
  <pageSetup firstPageNumber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130A8-DD8B-483A-8596-B346E67F63DC}">
  <dimension ref="B1:H23"/>
  <sheetViews>
    <sheetView zoomScale="85" zoomScaleNormal="85" workbookViewId="0">
      <selection activeCell="G12" sqref="G12"/>
    </sheetView>
  </sheetViews>
  <sheetFormatPr baseColWidth="10" defaultRowHeight="15"/>
  <cols>
    <col min="6" max="6" width="17.7109375" customWidth="1"/>
    <col min="7" max="7" width="35.5703125" customWidth="1"/>
    <col min="8" max="8" width="69.42578125" customWidth="1"/>
  </cols>
  <sheetData>
    <row r="1" spans="2:8" ht="15.75" thickBot="1"/>
    <row r="2" spans="2:8">
      <c r="B2" s="108" t="s">
        <v>19</v>
      </c>
      <c r="C2" s="109"/>
      <c r="D2" s="109"/>
      <c r="E2" s="109"/>
      <c r="F2" s="55" t="s">
        <v>22</v>
      </c>
      <c r="G2" s="55" t="s">
        <v>30</v>
      </c>
      <c r="H2" s="40" t="s">
        <v>31</v>
      </c>
    </row>
    <row r="3" spans="2:8">
      <c r="B3" s="110" t="s">
        <v>36</v>
      </c>
      <c r="C3" s="110"/>
      <c r="D3" s="110"/>
      <c r="E3" s="110"/>
      <c r="F3" s="6"/>
      <c r="G3" s="6"/>
      <c r="H3" s="41"/>
    </row>
    <row r="4" spans="2:8" ht="45">
      <c r="B4" s="77" t="s">
        <v>37</v>
      </c>
      <c r="C4" s="77"/>
      <c r="D4" s="77"/>
      <c r="E4" s="77"/>
      <c r="F4" s="9" t="s">
        <v>53</v>
      </c>
      <c r="G4" s="9" t="s">
        <v>66</v>
      </c>
      <c r="H4" s="42" t="s">
        <v>60</v>
      </c>
    </row>
    <row r="5" spans="2:8" ht="45">
      <c r="B5" s="77" t="s">
        <v>38</v>
      </c>
      <c r="C5" s="77"/>
      <c r="D5" s="77"/>
      <c r="E5" s="77"/>
      <c r="F5" s="9" t="s">
        <v>53</v>
      </c>
      <c r="G5" s="9" t="s">
        <v>67</v>
      </c>
      <c r="H5" s="42" t="s">
        <v>61</v>
      </c>
    </row>
    <row r="6" spans="2:8" ht="45">
      <c r="B6" s="85" t="s">
        <v>39</v>
      </c>
      <c r="C6" s="86"/>
      <c r="D6" s="86"/>
      <c r="E6" s="87"/>
      <c r="F6" s="9" t="s">
        <v>53</v>
      </c>
      <c r="G6" s="9" t="s">
        <v>65</v>
      </c>
      <c r="H6" s="42" t="s">
        <v>62</v>
      </c>
    </row>
    <row r="7" spans="2:8" ht="45">
      <c r="B7" s="85" t="s">
        <v>40</v>
      </c>
      <c r="C7" s="86"/>
      <c r="D7" s="86"/>
      <c r="E7" s="87"/>
      <c r="F7" s="9" t="s">
        <v>35</v>
      </c>
      <c r="G7" s="9" t="s">
        <v>64</v>
      </c>
      <c r="H7" s="42" t="s">
        <v>63</v>
      </c>
    </row>
    <row r="8" spans="2:8">
      <c r="B8" s="111" t="s">
        <v>41</v>
      </c>
      <c r="C8" s="111"/>
      <c r="D8" s="111"/>
      <c r="E8" s="111"/>
      <c r="F8" s="6"/>
      <c r="G8" s="43"/>
      <c r="H8" s="44"/>
    </row>
    <row r="9" spans="2:8" ht="45">
      <c r="B9" s="78" t="s">
        <v>42</v>
      </c>
      <c r="C9" s="78"/>
      <c r="D9" s="78"/>
      <c r="E9" s="78"/>
      <c r="F9" s="9" t="s">
        <v>34</v>
      </c>
      <c r="G9" s="45" t="s">
        <v>70</v>
      </c>
      <c r="H9" s="46" t="s">
        <v>56</v>
      </c>
    </row>
    <row r="10" spans="2:8" ht="45">
      <c r="B10" s="80" t="s">
        <v>43</v>
      </c>
      <c r="C10" s="81"/>
      <c r="D10" s="81"/>
      <c r="E10" s="82"/>
      <c r="F10" s="9" t="s">
        <v>33</v>
      </c>
      <c r="G10" s="43" t="s">
        <v>71</v>
      </c>
      <c r="H10" s="44" t="s">
        <v>57</v>
      </c>
    </row>
    <row r="11" spans="2:8" ht="45">
      <c r="B11" s="80" t="s">
        <v>44</v>
      </c>
      <c r="C11" s="81"/>
      <c r="D11" s="81"/>
      <c r="E11" s="82"/>
      <c r="F11" s="9" t="s">
        <v>33</v>
      </c>
      <c r="G11" s="47" t="s">
        <v>72</v>
      </c>
      <c r="H11" s="46" t="s">
        <v>58</v>
      </c>
    </row>
    <row r="12" spans="2:8" ht="45">
      <c r="B12" s="80" t="s">
        <v>45</v>
      </c>
      <c r="C12" s="81"/>
      <c r="D12" s="81"/>
      <c r="E12" s="82"/>
      <c r="F12" s="9" t="s">
        <v>53</v>
      </c>
      <c r="G12" s="59" t="s">
        <v>68</v>
      </c>
      <c r="H12" s="60" t="s">
        <v>59</v>
      </c>
    </row>
    <row r="13" spans="2:8">
      <c r="B13" s="107" t="s">
        <v>46</v>
      </c>
      <c r="C13" s="107"/>
      <c r="D13" s="107"/>
      <c r="E13" s="107"/>
      <c r="F13" s="6"/>
      <c r="G13" s="45"/>
      <c r="H13" s="46"/>
    </row>
    <row r="14" spans="2:8" ht="75">
      <c r="B14" s="78" t="s">
        <v>50</v>
      </c>
      <c r="C14" s="78"/>
      <c r="D14" s="78"/>
      <c r="E14" s="78"/>
      <c r="F14" s="9" t="s">
        <v>35</v>
      </c>
      <c r="G14" s="45" t="s">
        <v>69</v>
      </c>
      <c r="H14" s="46" t="s">
        <v>55</v>
      </c>
    </row>
    <row r="15" spans="2:8">
      <c r="B15" s="107" t="s">
        <v>47</v>
      </c>
      <c r="C15" s="107"/>
      <c r="D15" s="107"/>
      <c r="E15" s="107"/>
      <c r="F15" s="9"/>
      <c r="G15" s="45"/>
      <c r="H15" s="46"/>
    </row>
    <row r="16" spans="2:8">
      <c r="B16" s="77" t="s">
        <v>48</v>
      </c>
      <c r="C16" s="77"/>
      <c r="D16" s="77"/>
      <c r="E16" s="77"/>
      <c r="F16" s="9" t="s">
        <v>35</v>
      </c>
      <c r="G16" s="48"/>
      <c r="H16" s="49"/>
    </row>
    <row r="17" spans="2:8">
      <c r="B17" s="77" t="s">
        <v>49</v>
      </c>
      <c r="C17" s="77"/>
      <c r="D17" s="77"/>
      <c r="E17" s="77"/>
      <c r="F17" s="9" t="s">
        <v>35</v>
      </c>
      <c r="G17" s="45"/>
      <c r="H17" s="50"/>
    </row>
    <row r="18" spans="2:8">
      <c r="B18" s="76" t="s">
        <v>51</v>
      </c>
      <c r="C18" s="76"/>
      <c r="D18" s="76"/>
      <c r="E18" s="76"/>
      <c r="F18" s="6"/>
      <c r="G18" s="45"/>
      <c r="H18" s="50"/>
    </row>
    <row r="19" spans="2:8">
      <c r="B19" s="76" t="s">
        <v>25</v>
      </c>
      <c r="C19" s="76"/>
      <c r="D19" s="76"/>
      <c r="E19" s="76"/>
      <c r="F19" s="6"/>
      <c r="G19" s="48"/>
      <c r="H19" s="49"/>
    </row>
    <row r="20" spans="2:8">
      <c r="B20" s="105" t="s">
        <v>52</v>
      </c>
      <c r="C20" s="105"/>
      <c r="D20" s="105"/>
      <c r="E20" s="105"/>
      <c r="F20" s="8" t="s">
        <v>29</v>
      </c>
      <c r="G20" s="48"/>
      <c r="H20" s="49"/>
    </row>
    <row r="21" spans="2:8">
      <c r="B21" s="105"/>
      <c r="C21" s="105"/>
      <c r="D21" s="105"/>
      <c r="E21" s="105"/>
      <c r="F21" s="8"/>
      <c r="G21" s="51"/>
      <c r="H21" s="50"/>
    </row>
    <row r="22" spans="2:8" ht="15.75" thickBot="1">
      <c r="B22" s="106"/>
      <c r="C22" s="106"/>
      <c r="D22" s="106"/>
      <c r="E22" s="106"/>
      <c r="F22" s="8"/>
      <c r="G22" s="51"/>
      <c r="H22" s="50"/>
    </row>
    <row r="23" spans="2:8" ht="15.75" thickBot="1">
      <c r="B23" s="106"/>
      <c r="C23" s="106"/>
      <c r="D23" s="106"/>
      <c r="E23" s="106"/>
      <c r="F23" s="8"/>
      <c r="G23" s="52"/>
      <c r="H23" s="53"/>
    </row>
  </sheetData>
  <mergeCells count="22">
    <mergeCell ref="B13:E13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  <mergeCell ref="B12:E12"/>
    <mergeCell ref="B20:E20"/>
    <mergeCell ref="B21:E21"/>
    <mergeCell ref="B22:E22"/>
    <mergeCell ref="B23:E23"/>
    <mergeCell ref="B14:E14"/>
    <mergeCell ref="B15:E15"/>
    <mergeCell ref="B16:E16"/>
    <mergeCell ref="B17:E17"/>
    <mergeCell ref="B18:E18"/>
    <mergeCell ref="B19:E19"/>
  </mergeCells>
  <hyperlinks>
    <hyperlink ref="H14" r:id="rId1" xr:uid="{2ED584A0-AD6B-46A5-82F6-D7FE023A4030}"/>
    <hyperlink ref="H9" r:id="rId2" xr:uid="{F3918A0B-B246-4EB8-9D82-D098A57693E6}"/>
    <hyperlink ref="H10" r:id="rId3" xr:uid="{5EED62B5-E2EC-4651-8480-4A3E774C0246}"/>
    <hyperlink ref="H11" r:id="rId4" xr:uid="{3F8C1FE8-CA5B-42AA-A77A-F6A38CBDEA4A}"/>
    <hyperlink ref="H12" r:id="rId5" xr:uid="{DEC87C09-91AD-4EC0-B778-CC0F49015E65}"/>
    <hyperlink ref="H4" r:id="rId6" xr:uid="{7819062E-3369-4D27-8E54-E537C781BD3B}"/>
    <hyperlink ref="H5" r:id="rId7" xr:uid="{874CC18D-E421-41CC-9B6D-07389822937A}"/>
    <hyperlink ref="H6" r:id="rId8" xr:uid="{55A2E74B-EFC1-403C-8395-076FD50AEFD2}"/>
    <hyperlink ref="H7" r:id="rId9" xr:uid="{1A043391-9CCA-417C-AC50-0FC61346C06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846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Horario</vt:lpstr>
      <vt:lpstr>TEMAS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Admin-Sena</dc:creator>
  <dc:description/>
  <cp:lastModifiedBy>Edwin</cp:lastModifiedBy>
  <cp:revision>27</cp:revision>
  <cp:lastPrinted>2017-03-09T15:14:09Z</cp:lastPrinted>
  <dcterms:created xsi:type="dcterms:W3CDTF">2017-02-11T00:51:09Z</dcterms:created>
  <dcterms:modified xsi:type="dcterms:W3CDTF">2023-04-16T21:46:03Z</dcterms:modified>
  <dc:language>es-CO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  <property fmtid="{D5CDD505-2E9C-101B-9397-08002B2CF9AE}" pid="8" name="MSIP_Label_1299739c-ad3d-4908-806e-4d91151a6e13_Enabled">
    <vt:lpwstr>true</vt:lpwstr>
  </property>
  <property fmtid="{D5CDD505-2E9C-101B-9397-08002B2CF9AE}" pid="9" name="MSIP_Label_1299739c-ad3d-4908-806e-4d91151a6e13_SetDate">
    <vt:lpwstr>2023-01-28T21:05:52Z</vt:lpwstr>
  </property>
  <property fmtid="{D5CDD505-2E9C-101B-9397-08002B2CF9AE}" pid="10" name="MSIP_Label_1299739c-ad3d-4908-806e-4d91151a6e13_Method">
    <vt:lpwstr>Standard</vt:lpwstr>
  </property>
  <property fmtid="{D5CDD505-2E9C-101B-9397-08002B2CF9AE}" pid="11" name="MSIP_Label_1299739c-ad3d-4908-806e-4d91151a6e13_Name">
    <vt:lpwstr>All Employees (Unrestricted)</vt:lpwstr>
  </property>
  <property fmtid="{D5CDD505-2E9C-101B-9397-08002B2CF9AE}" pid="12" name="MSIP_Label_1299739c-ad3d-4908-806e-4d91151a6e13_SiteId">
    <vt:lpwstr>cbc2c381-2f2e-4d93-91d1-506c9316ace7</vt:lpwstr>
  </property>
  <property fmtid="{D5CDD505-2E9C-101B-9397-08002B2CF9AE}" pid="13" name="MSIP_Label_1299739c-ad3d-4908-806e-4d91151a6e13_ActionId">
    <vt:lpwstr>97eebbc9-95be-4336-a319-d7fc5c963288</vt:lpwstr>
  </property>
  <property fmtid="{D5CDD505-2E9C-101B-9397-08002B2CF9AE}" pid="14" name="MSIP_Label_1299739c-ad3d-4908-806e-4d91151a6e13_ContentBits">
    <vt:lpwstr>0</vt:lpwstr>
  </property>
</Properties>
</file>